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activeTab="1" windowHeight="9390" windowWidth="28890" xWindow="-120" yWindow="6330"/>
  </bookViews>
  <sheets>
    <sheet name="Control" r:id="rId1" sheetId="1"/>
    <sheet name="HDFC" r:id="rId2" sheetId="32"/>
    <sheet name="Calculation" r:id="rId3" sheetId="50"/>
  </sheets>
  <externalReferences>
    <externalReference r:id="rId4"/>
    <externalReference r:id="rId5"/>
  </externalReferences>
  <definedNames>
    <definedName hidden="1" localSheetId="0" name="_xlnm._FilterDatabase">Control!$A$1:$C$11</definedName>
    <definedName name="basic_occupation">#REF!</definedName>
    <definedName localSheetId="1" name="CZ">#REF!</definedName>
    <definedName name="CZ">#REF!</definedName>
    <definedName name="NewOccupATION">#REF!</definedName>
    <definedName localSheetId="1" name="Occupation">[1]Control!$E$36:$F$46</definedName>
    <definedName name="Occupation">Control!#REF!</definedName>
    <definedName localSheetId="1" name="oCCUPATION1">[1]MajorDifferent!$WG$27:$WH$38</definedName>
    <definedName name="oCCUPATION1">#REF!</definedName>
    <definedName localSheetId="1" name="Occupation2">[1]Control!$E$35:$F$46</definedName>
    <definedName name="occupation2">[2]EAPP_Dump!$I$18:$J$29</definedName>
    <definedName hidden="1" localSheetId="0" name="Z_1F6ECD63_8CB2_4B04_80FD_C3EB21F73671_.wvu.FilterData">Control!$A$1:$C$11</definedName>
    <definedName hidden="1" localSheetId="1" name="Z_1F6ECD63_8CB2_4B04_80FD_C3EB21F73671_.wvu.Rows">HDFC!$6:$11</definedName>
    <definedName hidden="1" localSheetId="0" name="Z_36D71D8A_4137_4F7A_AC79_200C252884FD_.wvu.FilterData">Control!$A$1:$C$11</definedName>
    <definedName hidden="1" localSheetId="1" name="Z_36D71D8A_4137_4F7A_AC79_200C252884FD_.wvu.Rows">HDFC!$6:$11</definedName>
  </definedNames>
  <calcPr calcId="124519"/>
  <customWorkbookViews>
    <customWorkbookView activeSheetId="3" guid="{36D71D8A-4137-4F7A-AC79-200C252884FD}" maximized="1" mergeInterval="0" name="inos006534 - Personal View" personalView="1" tabRatio="763" windowHeight="680" windowWidth="1436" xWindow="1" yWindow="1"/>
    <customWorkbookView activeSheetId="5" guid="{1F6ECD63-8CB2-4B04-80FD-C3EB21F73671}" maximized="1" mergeInterval="0" name="inos005687 - Personal View" personalView="1" tabRatio="763" windowHeight="538" windowWidth="1362" xWindow="1" yWindow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i="50" r="F24"/>
  <c r="F20"/>
  <c r="F15"/>
</calcChain>
</file>

<file path=xl/sharedStrings.xml><?xml version="1.0" encoding="utf-8"?>
<sst xmlns="http://schemas.openxmlformats.org/spreadsheetml/2006/main" count="243" uniqueCount="106">
  <si>
    <t>Sr_No</t>
  </si>
  <si>
    <t>TC_Name</t>
  </si>
  <si>
    <t>001</t>
  </si>
  <si>
    <t>Yes</t>
  </si>
  <si>
    <t>002</t>
  </si>
  <si>
    <t>003</t>
  </si>
  <si>
    <t>004</t>
  </si>
  <si>
    <t>tc_id</t>
  </si>
  <si>
    <t>description</t>
  </si>
  <si>
    <t>flag</t>
  </si>
  <si>
    <t>browser_type</t>
  </si>
  <si>
    <t>Policy_Term</t>
  </si>
  <si>
    <t>Sum_Assured</t>
  </si>
  <si>
    <t>Submit</t>
  </si>
  <si>
    <t>Illustration</t>
  </si>
  <si>
    <t>Click</t>
  </si>
  <si>
    <t>NA</t>
  </si>
  <si>
    <t>Others</t>
  </si>
  <si>
    <t>H</t>
  </si>
  <si>
    <t>IFSC_Code</t>
  </si>
  <si>
    <t>HDFC</t>
  </si>
  <si>
    <t>Apex Field</t>
  </si>
  <si>
    <t>Apex Header</t>
  </si>
  <si>
    <t> RWS Data</t>
  </si>
  <si>
    <t> PIVC Tool</t>
  </si>
  <si>
    <t> TRCP2 Data</t>
  </si>
  <si>
    <t> Ingenium Field Name</t>
  </si>
  <si>
    <t>FIRST_NAME</t>
  </si>
  <si>
    <t>SURNAME</t>
  </si>
  <si>
    <t>BIRTH_DATE</t>
  </si>
  <si>
    <t>SEX</t>
  </si>
  <si>
    <t>PI</t>
  </si>
  <si>
    <t>INSURED_NAME</t>
  </si>
  <si>
    <t>INS_DOB</t>
  </si>
  <si>
    <t>INS_GENDER</t>
  </si>
  <si>
    <t>Insured Name</t>
  </si>
  <si>
    <t>Date of Birth</t>
  </si>
  <si>
    <t>Insured Gender</t>
  </si>
  <si>
    <t>Name of Life Insured:</t>
  </si>
  <si>
    <t>Insured's DOB:</t>
  </si>
  <si>
    <t> Ingenium Screen Name</t>
  </si>
  <si>
    <t> Ingenium Tab Name</t>
  </si>
  <si>
    <t>Tracking Policy/Requirements</t>
  </si>
  <si>
    <t>Client Inquiry</t>
  </si>
  <si>
    <t>Client</t>
  </si>
  <si>
    <t>New Policy Inquiry</t>
  </si>
  <si>
    <t>Sex</t>
  </si>
  <si>
    <t>Channel Name</t>
  </si>
  <si>
    <t>Execute</t>
  </si>
  <si>
    <t>005</t>
  </si>
  <si>
    <t>006</t>
  </si>
  <si>
    <t>007</t>
  </si>
  <si>
    <t>008</t>
  </si>
  <si>
    <t>009</t>
  </si>
  <si>
    <t>010</t>
  </si>
  <si>
    <t>CHROME</t>
  </si>
  <si>
    <t>URL</t>
  </si>
  <si>
    <t>Chrome</t>
  </si>
  <si>
    <t>ChannelName</t>
  </si>
  <si>
    <t>mod_class_name</t>
  </si>
  <si>
    <t>com.bsli.ibm_web.mod.eappMod</t>
  </si>
  <si>
    <t>Browser</t>
  </si>
  <si>
    <t>I have gone through the features of the product</t>
  </si>
  <si>
    <t>Check_Box1</t>
  </si>
  <si>
    <t>Check_Box2</t>
  </si>
  <si>
    <t>I request Aditya Birla Sun Life Insurance Company Ltd to update</t>
  </si>
  <si>
    <t>I_AGREE</t>
  </si>
  <si>
    <t>PROCEED_TO_PAY</t>
  </si>
  <si>
    <t>NET_BANKING</t>
  </si>
  <si>
    <t>Preferred_Draw_Date</t>
  </si>
  <si>
    <t>Bank_Account_type</t>
  </si>
  <si>
    <t>Other_Method</t>
  </si>
  <si>
    <t>New</t>
  </si>
  <si>
    <t>Account_Number</t>
  </si>
  <si>
    <t>Person_Name</t>
  </si>
  <si>
    <t>Ram Nema</t>
  </si>
  <si>
    <t>987456321147258369</t>
  </si>
  <si>
    <t>HDFC0000060</t>
  </si>
  <si>
    <t>Close_Popup</t>
  </si>
  <si>
    <t>CREDIT_CARD</t>
  </si>
  <si>
    <t>DEBIT_CARD</t>
  </si>
  <si>
    <t>Check_Box3</t>
  </si>
  <si>
    <t>PROCEED</t>
  </si>
  <si>
    <t xml:space="preserve">I hereby confirm that I am the policy owner and declare that premium </t>
  </si>
  <si>
    <t>Premium_Payable</t>
  </si>
  <si>
    <t>HDFC1</t>
  </si>
  <si>
    <t>1</t>
  </si>
  <si>
    <t>Card_No</t>
  </si>
  <si>
    <t>Your_Name</t>
  </si>
  <si>
    <t>Expiry_MM</t>
  </si>
  <si>
    <t>Expiry_YY</t>
  </si>
  <si>
    <t>CVV_NO</t>
  </si>
  <si>
    <t>Submit_Btn</t>
  </si>
  <si>
    <t>4012001037141112</t>
  </si>
  <si>
    <t>test</t>
  </si>
  <si>
    <t>For CREDIT_CARD</t>
  </si>
  <si>
    <t>Pay_With</t>
  </si>
  <si>
    <t>HDFC Bank Credit Card</t>
  </si>
  <si>
    <t>Submit1</t>
  </si>
  <si>
    <t>2</t>
  </si>
  <si>
    <t>8TH</t>
  </si>
  <si>
    <t>https://uat.abcap.co.in/ABSLI/he31nHw</t>
  </si>
  <si>
    <t>Rider_Name_Check_Box</t>
  </si>
  <si>
    <t>Application_No</t>
  </si>
  <si>
    <t>EA90031408</t>
  </si>
  <si>
    <t>Success</t>
  </si>
</sst>
</file>

<file path=xl/styles.xml><?xml version="1.0" encoding="utf-8"?>
<styleSheet xmlns="http://schemas.openxmlformats.org/spreadsheetml/2006/main">
  <numFmts count="0"/>
  <fonts count="9">
    <font>
      <sz val="11"/>
      <color theme="1"/>
      <name val="Calibri"/>
      <family val="2"/>
      <scheme val="minor"/>
    </font>
    <font>
      <u/>
      <sz val="7.7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borderId="0" fillId="0" fontId="0" numFmtId="0"/>
    <xf applyAlignment="0" applyBorder="0" applyFill="0" applyNumberFormat="0" applyProtection="0" borderId="0" fillId="0" fontId="1" numFmtId="0">
      <alignment vertical="top"/>
      <protection locked="0"/>
    </xf>
    <xf applyAlignment="0" applyBorder="0" applyFill="0" applyNumberFormat="0" applyProtection="0" borderId="0" fillId="0" fontId="7" numFmtId="0">
      <alignment vertical="top"/>
      <protection locked="0"/>
    </xf>
    <xf applyAlignment="0" applyBorder="0" applyFill="0" applyNumberFormat="0" applyProtection="0" borderId="0" fillId="0" fontId="1" numFmtId="0">
      <alignment vertical="top"/>
      <protection locked="0"/>
    </xf>
  </cellStyleXfs>
  <cellXfs count="53">
    <xf borderId="0" fillId="0" fontId="0" numFmtId="0" xfId="0"/>
    <xf applyAlignment="1" applyBorder="1" applyFill="1" applyFont="1" borderId="1" fillId="2" fontId="2" numFmtId="0" xfId="0">
      <alignment horizontal="center" vertical="center"/>
    </xf>
    <xf applyBorder="1" applyFill="1" applyFont="1" applyNumberFormat="1" borderId="1" fillId="0" fontId="3" numFmtId="49" xfId="0"/>
    <xf applyAlignment="1" applyBorder="1" applyFill="1" applyFont="1" applyNumberFormat="1" borderId="1" fillId="0" fontId="3" numFmtId="49" quotePrefix="1" xfId="0">
      <alignment horizontal="center" vertical="center"/>
    </xf>
    <xf applyBorder="1" applyFill="1" applyFont="1" applyNumberFormat="1" borderId="1" fillId="3" fontId="3" numFmtId="49" xfId="0"/>
    <xf applyFont="1" borderId="0" fillId="0" fontId="3" numFmtId="0" xfId="0"/>
    <xf applyAlignment="1" applyBorder="1" applyFill="1" applyFont="1" applyNumberFormat="1" borderId="1" fillId="0" fontId="3" numFmtId="49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borderId="1" fillId="0" fontId="0" numFmtId="0" xfId="0">
      <alignment horizontal="center" vertical="center"/>
    </xf>
    <xf applyAlignment="1" applyBorder="1" applyFont="1" borderId="7" fillId="0" fontId="0" numFmtId="0" quotePrefix="1" xfId="0">
      <alignment vertical="center"/>
    </xf>
    <xf applyBorder="1" applyFill="1" applyFont="1" applyNumberFormat="1" borderId="0" fillId="0" fontId="3" numFmtId="49" xfId="0"/>
    <xf applyFont="1" borderId="0" fillId="0" fontId="4" numFmtId="0" xfId="0"/>
    <xf applyAlignment="1" applyBorder="1" applyFill="1" borderId="1" fillId="3" fontId="0" numFmtId="0" xfId="0">
      <alignment horizontal="center" vertical="center"/>
    </xf>
    <xf applyBorder="1" applyFill="1" applyFont="1" borderId="1" fillId="3" fontId="6" numFmtId="0" xfId="0"/>
    <xf applyFill="1" borderId="0" fillId="0" fontId="0" numFmtId="0" xfId="0"/>
    <xf applyAlignment="1" applyBorder="1" applyFill="1" applyFont="1" applyNumberFormat="1" borderId="1" fillId="0" fontId="3" numFmtId="49" xfId="0">
      <alignment horizontal="center"/>
    </xf>
    <xf applyAlignment="1" applyBorder="1" applyFill="1" applyFont="1" applyNumberFormat="1" borderId="1" fillId="0" fontId="3" numFmtId="49" xfId="0">
      <alignment horizontal="left" vertical="center"/>
    </xf>
    <xf applyAlignment="1" applyBorder="1" applyFont="1" borderId="1" fillId="0" fontId="0" numFmtId="0" quotePrefix="1" xfId="0">
      <alignment vertical="center"/>
    </xf>
    <xf applyFill="1" applyFont="1" applyNumberFormat="1" borderId="0" fillId="0" fontId="3" numFmtId="49" xfId="0"/>
    <xf applyBorder="1" applyFill="1" applyFont="1" borderId="1" fillId="0" fontId="6" numFmtId="0" xfId="0"/>
    <xf applyBorder="1" applyFill="1" applyFont="1" applyNumberFormat="1" borderId="5" fillId="0" fontId="3" numFmtId="49" xfId="0"/>
    <xf applyBorder="1" applyFill="1" applyFont="1" applyNumberFormat="1" borderId="8" fillId="0" fontId="3" numFmtId="49" xfId="0"/>
    <xf applyAlignment="1" applyBorder="1" applyFill="1" applyFont="1" applyNumberFormat="1" borderId="9" fillId="0" fontId="3" numFmtId="49" quotePrefix="1" xfId="0">
      <alignment horizontal="center" vertical="center"/>
    </xf>
    <xf applyBorder="1" applyFill="1" borderId="0" fillId="0" fontId="0" numFmtId="0" xfId="0"/>
    <xf applyBorder="1" applyFill="1" borderId="10" fillId="0" fontId="0" numFmtId="0" xfId="0"/>
    <xf applyAlignment="1" applyBorder="1" applyFill="1" borderId="1" fillId="4" fontId="0" numFmtId="0" xfId="0">
      <alignment horizontal="center" vertical="center"/>
    </xf>
    <xf applyAlignment="1" applyBorder="1" applyFill="1" applyFont="1" applyNumberFormat="1" borderId="1" fillId="0" fontId="3" numFmtId="49" xfId="0">
      <alignment horizontal="center" vertical="center"/>
    </xf>
    <xf applyAlignment="1" applyBorder="1" applyFill="1" applyFont="1" applyNumberFormat="1" borderId="1" fillId="3" fontId="3" numFmtId="49" xfId="0">
      <alignment horizontal="center" vertical="center"/>
    </xf>
    <xf applyAlignment="1" applyBorder="1" applyFill="1" applyFont="1" borderId="1" fillId="6" fontId="6" numFmtId="0" xfId="0">
      <alignment horizontal="center" vertical="center" wrapText="1"/>
    </xf>
    <xf applyAlignment="1" applyBorder="1" applyFill="1" applyFont="1" applyNumberFormat="1" borderId="1" fillId="6" fontId="6" numFmtId="49" xfId="0">
      <alignment horizontal="center" vertical="center" wrapText="1"/>
    </xf>
    <xf applyFill="1" applyNumberFormat="1" borderId="0" fillId="0" fontId="0" numFmtId="49" xfId="0"/>
    <xf applyNumberFormat="1" borderId="0" fillId="0" fontId="0" numFmtId="49" xfId="0"/>
    <xf applyBorder="1" applyFill="1" applyFont="1" applyNumberFormat="1" borderId="8" fillId="5" fontId="5" numFmtId="49" xfId="0"/>
    <xf applyBorder="1" applyFill="1" applyFont="1" applyNumberFormat="1" borderId="1" fillId="5" fontId="3" numFmtId="49" xfId="0"/>
    <xf applyAlignment="1" applyBorder="1" applyFill="1" applyFont="1" applyNumberFormat="1" borderId="2" fillId="0" fontId="3" numFmtId="49" xfId="0">
      <alignment horizontal="center" vertical="center"/>
    </xf>
    <xf applyAlignment="1" applyBorder="1" applyFill="1" applyFont="1" borderId="0" fillId="6" fontId="6" numFmtId="0" xfId="0">
      <alignment horizontal="center" vertical="center" wrapText="1"/>
    </xf>
    <xf applyAlignment="1" applyBorder="1" applyFill="1" applyFont="1" applyNumberFormat="1" borderId="0" fillId="6" fontId="6" numFmtId="49" xfId="0">
      <alignment horizontal="center" vertical="center" wrapText="1"/>
    </xf>
    <xf applyAlignment="1" applyBorder="1" applyFill="1" applyFont="1" borderId="3" fillId="6" fontId="6" numFmtId="0" xfId="0">
      <alignment horizontal="center" vertical="center" wrapText="1"/>
    </xf>
    <xf applyAlignment="1" applyBorder="1" applyFill="1" applyFont="1" borderId="2" fillId="6" fontId="6" numFmtId="0" xfId="0">
      <alignment horizontal="center" vertical="center" wrapText="1"/>
    </xf>
    <xf applyAlignment="1" applyBorder="1" applyFill="1" applyFont="1" borderId="4" fillId="6" fontId="6" numFmtId="0" xfId="0">
      <alignment horizontal="center" vertical="center" wrapText="1"/>
    </xf>
    <xf applyBorder="1" applyFill="1" applyFont="1" applyNumberFormat="1" borderId="5" fillId="5" fontId="5" numFmtId="49" xfId="0"/>
    <xf applyAlignment="1" applyProtection="1" borderId="0" fillId="0" fontId="1" numFmtId="0" xfId="1"/>
    <xf applyAlignment="1" applyBorder="1" applyFill="1" applyFont="1" applyNumberFormat="1" borderId="1" fillId="0" fontId="3" numFmtId="49" xfId="0">
      <alignment horizontal="center"/>
    </xf>
    <xf applyAlignment="1" applyBorder="1" borderId="7" fillId="0" fontId="0" numFmtId="0" xfId="0">
      <alignment horizontal="center" vertical="center"/>
    </xf>
    <xf applyAlignment="1" applyBorder="1" borderId="6" fillId="0" fontId="0" numFmtId="0" xfId="0">
      <alignment horizontal="center" vertical="center"/>
    </xf>
    <xf applyAlignment="1" applyBorder="1" borderId="5" fillId="0" fontId="0" numFmtId="0" xfId="0">
      <alignment horizontal="center" vertical="center"/>
    </xf>
    <xf applyAlignment="1" applyBorder="1" applyFill="1" applyFont="1" applyNumberFormat="1" borderId="1" fillId="0" fontId="3" numFmtId="49" xfId="0">
      <alignment horizontal="center"/>
    </xf>
    <xf applyAlignment="1" applyBorder="1" applyFill="1" applyFont="1" borderId="11" fillId="4" fontId="6" numFmtId="0" xfId="0">
      <alignment horizontal="center" vertical="center" wrapText="1"/>
    </xf>
    <xf applyAlignment="1" applyBorder="1" applyFill="1" applyFont="1" borderId="12" fillId="4" fontId="6" numFmtId="0" xfId="0">
      <alignment horizontal="center" vertical="center" wrapText="1"/>
    </xf>
    <xf applyAlignment="1" applyBorder="1" applyFill="1" applyFont="1" borderId="13" fillId="4" fontId="6" numFmtId="0" xfId="0">
      <alignment horizontal="center" vertical="center" wrapText="1"/>
    </xf>
    <xf applyAlignment="1" applyBorder="1" applyFill="1" applyFont="1" applyNumberFormat="1" borderId="3" fillId="0" fontId="3" numFmtId="49" xfId="0">
      <alignment horizontal="center" vertical="center" wrapText="1"/>
    </xf>
    <xf applyAlignment="1" applyBorder="1" applyFill="1" applyFont="1" applyNumberFormat="1" borderId="4" fillId="0" fontId="3" numFmtId="49" xfId="0">
      <alignment horizontal="center" vertical="center" wrapText="1"/>
    </xf>
    <xf applyAlignment="1" applyBorder="1" applyFill="1" applyFont="1" applyNumberFormat="1" borderId="2" fillId="0" fontId="3" numFmtId="49" xfId="0">
      <alignment horizontal="center" vertical="center" wrapText="1"/>
    </xf>
  </cellXfs>
  <cellStyles count="4">
    <cellStyle builtinId="8" name="Hyperlink" xfId="1"/>
    <cellStyle name="Hyperlink 2" xfId="2"/>
    <cellStyle name="Hyperlink 2 2" xfId="3"/>
    <cellStyle builtinId="0" name="Normal" xfId="0"/>
  </cellStyles>
  <dxfs count="0"/>
  <tableStyles count="0" defaultPivotStyle="PivotStyleLight16" defaultTableStyle="TableStyleMedium9"/>
  <colors>
    <mruColors>
      <color rgb="FF99FF99"/>
      <color rgb="FFFF5B5B"/>
      <color rgb="FF99FF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externalLinks/externalLink2.xml" Type="http://schemas.openxmlformats.org/officeDocument/2006/relationships/externalLink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externalLinks/_rels/externalLink1.xml.rels><?xml version="1.0" encoding="UTF-8" standalone="no"?><Relationships xmlns="http://schemas.openxmlformats.org/package/2006/relationships"><Relationship Id="rId1" Target="file:///C:/Users/PrashantPetkar/Box%20Sync/MyTP/Clients/BSLI/TestAutomation/MAPP/Datasheet_Harshal-MajorSame-MYes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file:///C:/Users/PrashantPetkar/Box%20Sync/MyTP/Clients/BSLI/TestAutomation/MAPP/Datasheet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Sheet2"/>
      <sheetName val="MajorDifferent"/>
      <sheetName val="CancerSheildMaj-Same"/>
      <sheetName val="CancerDiff"/>
      <sheetName val="Criti Same"/>
      <sheetName val="Criti_Diff"/>
      <sheetName val="Minor"/>
      <sheetName val="MinorWOP"/>
      <sheetName val="LIProposerDiff_old"/>
      <sheetName val="JointLife"/>
      <sheetName val="Company"/>
      <sheetName val="Sheet1"/>
    </sheetNames>
    <sheetDataSet>
      <sheetData refreshError="1" sheetId="0">
        <row r="35">
          <cell r="E35" t="str">
            <v>Business Owner</v>
          </cell>
          <cell r="F35" t="str">
            <v>Business</v>
          </cell>
        </row>
        <row r="36">
          <cell r="E36" t="str">
            <v>Service</v>
          </cell>
          <cell r="F36" t="str">
            <v>Service</v>
          </cell>
        </row>
        <row r="37">
          <cell r="E37" t="str">
            <v>Professional</v>
          </cell>
          <cell r="F37" t="str">
            <v>Service</v>
          </cell>
        </row>
        <row r="38">
          <cell r="E38" t="str">
            <v>Retired</v>
          </cell>
          <cell r="F38" t="str">
            <v>Retired</v>
          </cell>
        </row>
        <row r="39">
          <cell r="E39" t="str">
            <v>Student</v>
          </cell>
          <cell r="F39" t="str">
            <v>Student</v>
          </cell>
        </row>
        <row r="40">
          <cell r="E40" t="str">
            <v>House Wife</v>
          </cell>
          <cell r="F40" t="str">
            <v>House Wife</v>
          </cell>
        </row>
        <row r="41">
          <cell r="E41" t="str">
            <v>Agriculture</v>
          </cell>
          <cell r="F41" t="str">
            <v>Aggri</v>
          </cell>
        </row>
        <row r="42">
          <cell r="E42" t="str">
            <v>Driver</v>
          </cell>
          <cell r="F42" t="str">
            <v>Service</v>
          </cell>
        </row>
        <row r="43">
          <cell r="E43" t="str">
            <v>Armed Forces</v>
          </cell>
          <cell r="F43" t="str">
            <v>Police</v>
          </cell>
        </row>
        <row r="44">
          <cell r="E44" t="str">
            <v>Army / Navy / Police</v>
          </cell>
          <cell r="F44" t="str">
            <v>Police</v>
          </cell>
        </row>
        <row r="45">
          <cell r="E45" t="str">
            <v>Skilled Worker</v>
          </cell>
          <cell r="F45" t="str">
            <v>Service</v>
          </cell>
        </row>
        <row r="46">
          <cell r="E46" t="str">
            <v>Others</v>
          </cell>
          <cell r="F46" t="str">
            <v>Others</v>
          </cell>
        </row>
      </sheetData>
      <sheetData refreshError="1" sheetId="1"/>
      <sheetData refreshError="1" sheetId="2">
        <row r="27">
          <cell r="WG27" t="str">
            <v>Business Owner</v>
          </cell>
          <cell r="WH27" t="str">
            <v>Business</v>
          </cell>
        </row>
        <row r="28">
          <cell r="WG28" t="str">
            <v>Service</v>
          </cell>
          <cell r="WH28" t="str">
            <v>Service</v>
          </cell>
        </row>
        <row r="29">
          <cell r="WG29" t="str">
            <v>Professional</v>
          </cell>
          <cell r="WH29" t="str">
            <v>Service</v>
          </cell>
        </row>
        <row r="30">
          <cell r="WG30" t="str">
            <v>Retired</v>
          </cell>
          <cell r="WH30" t="str">
            <v>Retired</v>
          </cell>
        </row>
        <row r="31">
          <cell r="WG31" t="str">
            <v>Student</v>
          </cell>
          <cell r="WH31" t="str">
            <v>Student</v>
          </cell>
        </row>
        <row r="32">
          <cell r="WG32" t="str">
            <v>House Wife</v>
          </cell>
          <cell r="WH32" t="str">
            <v>House Wife</v>
          </cell>
        </row>
        <row r="33">
          <cell r="WG33" t="str">
            <v>Agriculture</v>
          </cell>
          <cell r="WH33" t="str">
            <v>Aggri</v>
          </cell>
        </row>
        <row r="34">
          <cell r="WG34" t="str">
            <v>Driver</v>
          </cell>
          <cell r="WH34" t="str">
            <v>Service</v>
          </cell>
        </row>
        <row r="35">
          <cell r="WG35" t="str">
            <v>Armed Forces</v>
          </cell>
          <cell r="WH35" t="str">
            <v>Police</v>
          </cell>
        </row>
        <row r="36">
          <cell r="WG36" t="str">
            <v>Army / Navy / Police</v>
          </cell>
          <cell r="WH36" t="str">
            <v>Police</v>
          </cell>
        </row>
        <row r="37">
          <cell r="WG37" t="str">
            <v>Skilled Worker</v>
          </cell>
          <cell r="WH37" t="str">
            <v>Service</v>
          </cell>
        </row>
        <row r="38">
          <cell r="WG38" t="str">
            <v>Others</v>
          </cell>
          <cell r="WH38" t="str">
            <v>Others</v>
          </cell>
        </row>
      </sheetData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APP_Dump"/>
      <sheetName val="Sheet1"/>
      <sheetName val="Sheet2"/>
      <sheetName val="Sheet3"/>
      <sheetName val="Sheet4"/>
      <sheetName val="Control"/>
      <sheetName val="MajorSame"/>
      <sheetName val="CSEMastersheet"/>
      <sheetName val="CancerSheildMaj-Same"/>
      <sheetName val="CritiSheildMaj-Same"/>
      <sheetName val="CritiSheild-Maj-Diff"/>
      <sheetName val="Minor"/>
      <sheetName val="MajorDifferent"/>
      <sheetName val="CancerSheildMaj-Diff"/>
      <sheetName val="MinrWOP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printerSettings/printerSettings2.bin" Type="http://schemas.openxmlformats.org/officeDocument/2006/relationships/printerSettings"/><Relationship Id="rId3" Target="../printerSettings/printerSettings3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B12" sqref="B12"/>
    </sheetView>
  </sheetViews>
  <sheetFormatPr defaultRowHeight="15"/>
  <cols>
    <col min="1" max="1" bestFit="true" customWidth="true" width="8.140625" collapsed="true"/>
    <col min="2" max="3" bestFit="true" customWidth="true" width="31.85546875" collapsed="true"/>
    <col min="4" max="4" bestFit="true" customWidth="true" width="11.28515625" collapsed="true"/>
  </cols>
  <sheetData>
    <row ht="18.75" r="1" spans="1:4">
      <c r="A1" s="1" t="s">
        <v>0</v>
      </c>
      <c r="B1" s="1" t="s">
        <v>47</v>
      </c>
      <c r="C1" s="1" t="s">
        <v>1</v>
      </c>
      <c r="D1" s="1" t="s">
        <v>48</v>
      </c>
    </row>
    <row r="2" spans="1:4">
      <c r="A2" s="9" t="s">
        <v>2</v>
      </c>
      <c r="B2" s="43" t="s">
        <v>18</v>
      </c>
      <c r="C2" s="25" t="s">
        <v>20</v>
      </c>
      <c r="D2" s="12" t="s">
        <v>3</v>
      </c>
    </row>
    <row r="3" spans="1:4">
      <c r="A3" s="9" t="s">
        <v>4</v>
      </c>
      <c r="B3" s="44"/>
      <c r="C3" s="8"/>
      <c r="D3" s="12"/>
    </row>
    <row r="4" spans="1:4">
      <c r="A4" s="9" t="s">
        <v>5</v>
      </c>
      <c r="B4" s="44"/>
      <c r="C4" s="8"/>
      <c r="D4" s="12"/>
    </row>
    <row r="5" spans="1:4">
      <c r="A5" s="9" t="s">
        <v>6</v>
      </c>
      <c r="B5" s="44"/>
      <c r="C5" s="25"/>
      <c r="D5" s="12"/>
    </row>
    <row r="6" spans="1:4">
      <c r="A6" s="9" t="s">
        <v>49</v>
      </c>
      <c r="B6" s="44"/>
      <c r="C6" s="8"/>
      <c r="D6" s="12"/>
    </row>
    <row r="7" spans="1:4">
      <c r="A7" s="9" t="s">
        <v>50</v>
      </c>
      <c r="B7" s="44"/>
      <c r="C7" s="8"/>
      <c r="D7" s="12"/>
    </row>
    <row r="8" spans="1:4">
      <c r="A8" s="9" t="s">
        <v>51</v>
      </c>
      <c r="B8" s="44"/>
      <c r="C8" s="8"/>
      <c r="D8" s="12"/>
    </row>
    <row r="9" spans="1:4">
      <c r="A9" s="9" t="s">
        <v>52</v>
      </c>
      <c r="B9" s="44"/>
      <c r="C9" s="8"/>
      <c r="D9" s="7"/>
    </row>
    <row r="10" spans="1:4">
      <c r="A10" s="9" t="s">
        <v>53</v>
      </c>
      <c r="B10" s="44"/>
      <c r="C10" s="25"/>
      <c r="D10" s="7"/>
    </row>
    <row r="11" spans="1:4">
      <c r="A11" s="17" t="s">
        <v>54</v>
      </c>
      <c r="B11" s="45"/>
      <c r="C11" s="8"/>
      <c r="D11" s="7"/>
    </row>
  </sheetData>
  <customSheetViews>
    <customSheetView guid="{36D71D8A-4137-4F7A-AC79-200C252884FD}">
      <pageMargins bottom="0.75" footer="0.3" header="0.3" left="0.7" right="0.7" top="0.75"/>
      <pageSetup orientation="portrait" r:id="rId1"/>
    </customSheetView>
    <customSheetView guid="{1F6ECD63-8CB2-4B04-80FD-C3EB21F73671}" state="hidden">
      <selection activeCell="E21" sqref="E21"/>
      <pageMargins bottom="0.75" footer="0.3" header="0.3" left="0.7" right="0.7" top="0.75"/>
      <pageSetup orientation="portrait" r:id="rId2"/>
    </customSheetView>
  </customSheetViews>
  <mergeCells count="1">
    <mergeCell ref="B2:B11"/>
  </mergeCells>
  <pageMargins bottom="0.75" footer="0.3" header="0.3" left="0.7" right="0.7" top="0.75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6"/>
  <sheetViews>
    <sheetView tabSelected="1" workbookViewId="0">
      <selection activeCell="D12" sqref="D12:D15"/>
    </sheetView>
  </sheetViews>
  <sheetFormatPr customHeight="1" defaultColWidth="9.140625" defaultRowHeight="21"/>
  <cols>
    <col min="1" max="1" bestFit="true" customWidth="true" style="14" width="5.28515625" collapsed="true"/>
    <col min="2" max="2" bestFit="true" customWidth="true" style="14" width="45.0" collapsed="true"/>
    <col min="3" max="3" bestFit="true" customWidth="true" style="14" width="13.5703125" collapsed="true"/>
    <col min="4" max="4" bestFit="true" customWidth="true" style="14" width="4.140625" collapsed="true"/>
    <col min="5" max="5" bestFit="true" customWidth="true" style="14" width="12.7109375" collapsed="true"/>
    <col min="6" max="6" bestFit="true" customWidth="true" style="5" width="23.28515625" collapsed="true"/>
    <col min="7" max="7" customWidth="true" style="31" width="14.140625" collapsed="true"/>
    <col min="8" max="8" customWidth="true" style="5" width="16.85546875" collapsed="true"/>
    <col min="9" max="12" customWidth="true" style="5" width="16.85546875" collapsed="true"/>
    <col min="13" max="13" customWidth="true" style="14" width="21.42578125" collapsed="true"/>
    <col min="14" max="14" bestFit="true" customWidth="true" style="14" width="7.140625" collapsed="true"/>
    <col min="15" max="15" customWidth="true" style="14" width="29.28515625" collapsed="true"/>
    <col min="16" max="16" customWidth="true" style="14" width="17.28515625" collapsed="true"/>
    <col min="17" max="17" customWidth="true" style="14" width="17.28515625" collapsed="true"/>
    <col min="18" max="18" bestFit="true" customWidth="true" style="14" width="9.28515625" collapsed="true"/>
    <col min="19" max="19" bestFit="true" customWidth="true" style="14" width="26.7109375" collapsed="true"/>
    <col min="20" max="20" bestFit="true" customWidth="true" style="14" width="14.42578125" collapsed="true"/>
    <col min="21" max="21" bestFit="true" customWidth="true" style="14" width="10.7109375" collapsed="true"/>
    <col min="22" max="22" customWidth="true" style="14" width="10.7109375" collapsed="true"/>
    <col min="23" max="23" bestFit="true" customWidth="true" style="14" width="28.85546875" collapsed="true"/>
    <col min="24" max="31" customWidth="true" style="14" width="28.85546875" collapsed="true"/>
    <col min="32" max="934" style="14" width="9.140625" collapsed="true"/>
    <col min="935" max="16384" style="14" width="9.140625" collapsed="true"/>
  </cols>
  <sheetData>
    <row ht="25.5" r="1" spans="1:37">
      <c r="A1" s="28" t="s">
        <v>7</v>
      </c>
      <c r="B1" s="28" t="s">
        <v>8</v>
      </c>
      <c r="C1" s="28" t="s">
        <v>58</v>
      </c>
      <c r="D1" s="28" t="s">
        <v>9</v>
      </c>
      <c r="E1" s="28" t="s">
        <v>10</v>
      </c>
      <c r="F1" s="28" t="s">
        <v>59</v>
      </c>
      <c r="G1" s="29" t="s">
        <v>56</v>
      </c>
      <c r="H1" s="28" t="s">
        <v>61</v>
      </c>
      <c r="I1" s="28" t="s">
        <v>84</v>
      </c>
      <c r="J1" s="28" t="s">
        <v>11</v>
      </c>
      <c r="K1" s="28" t="s">
        <v>102</v>
      </c>
      <c r="L1" s="28" t="s">
        <v>12</v>
      </c>
      <c r="M1" s="28" t="s">
        <v>63</v>
      </c>
      <c r="N1" s="28" t="s">
        <v>66</v>
      </c>
      <c r="O1" s="28" t="s">
        <v>64</v>
      </c>
      <c r="P1" s="28" t="s">
        <v>67</v>
      </c>
      <c r="Q1" s="28" t="s">
        <v>103</v>
      </c>
      <c r="R1" s="28" t="s">
        <v>68</v>
      </c>
      <c r="S1" s="28" t="s">
        <v>69</v>
      </c>
      <c r="T1" s="28" t="s">
        <v>70</v>
      </c>
      <c r="U1" s="28" t="s">
        <v>71</v>
      </c>
      <c r="V1" s="28" t="s">
        <v>74</v>
      </c>
      <c r="W1" s="28" t="s">
        <v>73</v>
      </c>
      <c r="X1" s="28" t="s">
        <v>19</v>
      </c>
      <c r="Y1" s="28" t="s">
        <v>78</v>
      </c>
      <c r="Z1" s="28" t="s">
        <v>79</v>
      </c>
      <c r="AA1" s="28" t="s">
        <v>80</v>
      </c>
      <c r="AB1" s="28" t="s">
        <v>81</v>
      </c>
      <c r="AC1" s="28" t="s">
        <v>82</v>
      </c>
      <c r="AD1" s="28" t="s">
        <v>96</v>
      </c>
      <c r="AE1" s="28" t="s">
        <v>87</v>
      </c>
      <c r="AF1" s="28" t="s">
        <v>88</v>
      </c>
      <c r="AG1" s="28" t="s">
        <v>89</v>
      </c>
      <c r="AH1" s="28" t="s">
        <v>90</v>
      </c>
      <c r="AI1" s="28" t="s">
        <v>91</v>
      </c>
      <c r="AJ1" s="28" t="s">
        <v>92</v>
      </c>
      <c r="AK1" s="28" t="s">
        <v>98</v>
      </c>
    </row>
    <row customHeight="1" ht="41.25" r="2" spans="1:37">
      <c r="A2" s="28"/>
      <c r="B2" s="28"/>
      <c r="C2" s="28"/>
      <c r="D2" s="28"/>
      <c r="E2" s="28"/>
      <c r="F2" s="35"/>
      <c r="G2" s="36"/>
      <c r="H2" s="35"/>
      <c r="I2" s="35"/>
      <c r="J2" s="35"/>
      <c r="K2" s="35"/>
      <c r="L2" s="35"/>
      <c r="M2" s="28" t="s">
        <v>62</v>
      </c>
      <c r="N2" s="28"/>
      <c r="O2" s="28" t="s">
        <v>65</v>
      </c>
      <c r="P2" s="37"/>
      <c r="Q2" s="39"/>
      <c r="R2" s="39"/>
      <c r="S2" s="39"/>
      <c r="T2" s="38"/>
      <c r="U2" s="28"/>
      <c r="V2" s="28"/>
      <c r="W2" s="28"/>
      <c r="X2" s="28"/>
      <c r="Y2" s="28"/>
      <c r="Z2" s="28"/>
      <c r="AA2" s="28"/>
      <c r="AB2" s="28" t="s">
        <v>83</v>
      </c>
      <c r="AC2" s="28"/>
      <c r="AD2" s="47" t="s">
        <v>95</v>
      </c>
      <c r="AE2" s="48"/>
      <c r="AF2" s="48"/>
      <c r="AG2" s="48"/>
      <c r="AH2" s="48"/>
      <c r="AI2" s="48"/>
      <c r="AJ2" s="49"/>
    </row>
    <row customHeight="1" ht="16.5" r="3" spans="1:37">
      <c r="A3" s="3"/>
      <c r="B3" s="26"/>
      <c r="C3" s="26" t="s">
        <v>47</v>
      </c>
      <c r="D3" s="26"/>
      <c r="E3" s="26"/>
      <c r="G3" s="30"/>
      <c r="M3" s="34"/>
      <c r="N3" s="26" t="s">
        <v>13</v>
      </c>
      <c r="O3" s="27"/>
      <c r="P3" s="50"/>
      <c r="Q3" s="51"/>
      <c r="R3" s="51"/>
      <c r="S3" s="51"/>
      <c r="T3" s="52"/>
      <c r="U3" s="6" t="s">
        <v>14</v>
      </c>
      <c r="V3" s="6"/>
      <c r="W3" s="6"/>
      <c r="X3" s="6"/>
      <c r="Y3" s="6"/>
      <c r="Z3" s="6"/>
      <c r="AA3" s="6"/>
      <c r="AB3" s="6"/>
      <c r="AC3" s="6"/>
      <c r="AD3" s="6"/>
      <c r="AE3" s="6"/>
    </row>
    <row customHeight="1" ht="10.5" r="4" spans="1:37">
      <c r="A4" s="2"/>
      <c r="B4" s="2" t="s">
        <v>21</v>
      </c>
      <c r="C4" s="2"/>
      <c r="D4" s="2"/>
      <c r="E4" s="2"/>
      <c r="G4" s="18"/>
      <c r="M4" s="2"/>
      <c r="N4" s="2"/>
      <c r="O4" s="4"/>
      <c r="P4" s="2" t="s">
        <v>27</v>
      </c>
      <c r="Q4" s="2"/>
      <c r="R4" s="2" t="s">
        <v>28</v>
      </c>
      <c r="S4" s="2" t="s">
        <v>29</v>
      </c>
      <c r="T4" s="2" t="s">
        <v>30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customHeight="1" ht="11.25" r="5" spans="1:37">
      <c r="A5" s="2"/>
      <c r="B5" s="2" t="s">
        <v>22</v>
      </c>
      <c r="C5" s="2"/>
      <c r="D5" s="2"/>
      <c r="E5" s="2"/>
      <c r="G5" s="18"/>
      <c r="M5" s="2"/>
      <c r="N5" s="2"/>
      <c r="O5" s="4"/>
      <c r="P5" s="2" t="s">
        <v>31</v>
      </c>
      <c r="Q5" s="2"/>
      <c r="R5" s="2" t="s">
        <v>31</v>
      </c>
      <c r="S5" s="2" t="s">
        <v>31</v>
      </c>
      <c r="T5" s="2" t="s">
        <v>31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customHeight="1" ht="10.5" r="6" spans="1:37">
      <c r="A6" s="19"/>
      <c r="B6" s="19" t="s">
        <v>23</v>
      </c>
      <c r="C6" s="19"/>
      <c r="D6" s="19"/>
      <c r="E6" s="19"/>
      <c r="G6"/>
      <c r="M6" s="19"/>
      <c r="N6" s="19"/>
      <c r="O6" s="13"/>
      <c r="P6" s="46" t="s">
        <v>32</v>
      </c>
      <c r="Q6" s="46"/>
      <c r="R6" s="46"/>
      <c r="S6" s="2" t="s">
        <v>33</v>
      </c>
      <c r="T6" s="2" t="s">
        <v>34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customHeight="1" ht="12.75" r="7" spans="1:37">
      <c r="A7" s="26"/>
      <c r="B7" s="16" t="s">
        <v>24</v>
      </c>
      <c r="C7" s="16"/>
      <c r="D7" s="2"/>
      <c r="E7" s="2"/>
      <c r="G7"/>
      <c r="M7" s="2"/>
      <c r="N7" s="2"/>
      <c r="O7" s="4"/>
      <c r="P7" s="15" t="s">
        <v>35</v>
      </c>
      <c r="Q7" s="42"/>
      <c r="R7" s="15"/>
      <c r="S7" s="2" t="s">
        <v>36</v>
      </c>
      <c r="T7" s="2" t="s">
        <v>37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customHeight="1" ht="10.5" r="8" spans="1:37">
      <c r="A8" s="19"/>
      <c r="B8" s="19" t="s">
        <v>25</v>
      </c>
      <c r="C8" s="19"/>
      <c r="D8" s="26"/>
      <c r="E8" s="26"/>
      <c r="G8" s="18"/>
      <c r="M8" s="26"/>
      <c r="N8" s="26"/>
      <c r="O8" s="27"/>
      <c r="P8" s="2" t="s">
        <v>16</v>
      </c>
      <c r="Q8" s="2"/>
      <c r="R8" s="2" t="s">
        <v>16</v>
      </c>
      <c r="S8" s="2" t="s">
        <v>16</v>
      </c>
      <c r="T8" s="2" t="s">
        <v>16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customHeight="1" ht="12.75" r="9" spans="1:37">
      <c r="A9" s="2"/>
      <c r="B9" s="2" t="s">
        <v>26</v>
      </c>
      <c r="C9" s="2"/>
      <c r="D9" s="2"/>
      <c r="E9" s="2"/>
      <c r="G9" s="18"/>
      <c r="M9" s="2"/>
      <c r="N9" s="2"/>
      <c r="O9" s="4"/>
      <c r="P9" s="46" t="s">
        <v>38</v>
      </c>
      <c r="Q9" s="46"/>
      <c r="R9" s="46"/>
      <c r="S9" s="2" t="s">
        <v>39</v>
      </c>
      <c r="T9" s="2" t="s">
        <v>46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customHeight="1" ht="10.5" r="10" spans="1:37">
      <c r="A10" s="2"/>
      <c r="B10" s="2" t="s">
        <v>40</v>
      </c>
      <c r="C10" s="2"/>
      <c r="D10" s="2"/>
      <c r="E10" s="2"/>
      <c r="G10" s="18"/>
      <c r="M10" s="2"/>
      <c r="N10" s="2"/>
      <c r="O10" s="4"/>
      <c r="P10" s="46" t="s">
        <v>42</v>
      </c>
      <c r="Q10" s="46"/>
      <c r="R10" s="46"/>
      <c r="S10" s="15" t="s">
        <v>42</v>
      </c>
      <c r="T10" s="2" t="s">
        <v>43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customHeight="1" ht="12" r="11" spans="1:37" thickBot="1">
      <c r="A11" s="2"/>
      <c r="B11" s="2" t="s">
        <v>41</v>
      </c>
      <c r="C11" s="2"/>
      <c r="D11" s="2"/>
      <c r="E11" s="2"/>
      <c r="G11" s="18"/>
      <c r="M11" s="2"/>
      <c r="N11" s="2"/>
      <c r="O11" s="4"/>
      <c r="P11" s="46" t="s">
        <v>45</v>
      </c>
      <c r="Q11" s="46"/>
      <c r="R11" s="46"/>
      <c r="S11" s="15" t="s">
        <v>45</v>
      </c>
      <c r="T11" s="2" t="s">
        <v>44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customFormat="1" customHeight="1" ht="15.75" r="12" s="24" spans="1:37" thickBot="1">
      <c r="A12" s="22" t="s">
        <v>2</v>
      </c>
      <c r="B12" s="21" t="s">
        <v>85</v>
      </c>
      <c r="C12" s="21" t="s">
        <v>18</v>
      </c>
      <c r="D12" t="s">
        <v>3</v>
      </c>
      <c r="E12" s="2" t="s">
        <v>55</v>
      </c>
      <c r="F12" s="2" t="s">
        <v>60</v>
      </c>
      <c r="G12" s="41" t="s">
        <v>101</v>
      </c>
      <c r="H12" s="2" t="s">
        <v>57</v>
      </c>
      <c r="I12" s="21" t="s">
        <v>86</v>
      </c>
      <c r="J12" s="21" t="s">
        <v>99</v>
      </c>
      <c r="K12" s="21" t="s">
        <v>16</v>
      </c>
      <c r="L12" s="21" t="s">
        <v>86</v>
      </c>
      <c r="M12" s="21" t="s">
        <v>15</v>
      </c>
      <c r="N12" s="21" t="s">
        <v>15</v>
      </c>
      <c r="O12" s="21" t="s">
        <v>15</v>
      </c>
      <c r="P12" s="21" t="s">
        <v>15</v>
      </c>
      <c r="Q12" t="s">
        <v>104</v>
      </c>
      <c r="R12" s="21" t="s">
        <v>15</v>
      </c>
      <c r="S12" s="11" t="s">
        <v>100</v>
      </c>
      <c r="T12" s="21" t="s">
        <v>17</v>
      </c>
      <c r="U12" s="32" t="s">
        <v>72</v>
      </c>
      <c r="V12" s="40" t="s">
        <v>75</v>
      </c>
      <c r="W12" s="33" t="s">
        <v>76</v>
      </c>
      <c r="X12" s="33" t="s">
        <v>77</v>
      </c>
      <c r="Y12" s="33" t="s">
        <v>15</v>
      </c>
      <c r="Z12" s="33" t="s">
        <v>16</v>
      </c>
      <c r="AA12" s="33" t="s">
        <v>16</v>
      </c>
      <c r="AB12" s="33" t="s">
        <v>15</v>
      </c>
      <c r="AC12" s="33" t="s">
        <v>15</v>
      </c>
      <c r="AD12" s="33" t="s">
        <v>16</v>
      </c>
      <c r="AE12" s="33" t="s">
        <v>16</v>
      </c>
      <c r="AF12" s="33" t="s">
        <v>16</v>
      </c>
      <c r="AG12" s="33" t="s">
        <v>16</v>
      </c>
      <c r="AH12" s="33" t="s">
        <v>16</v>
      </c>
      <c r="AI12" s="33" t="s">
        <v>16</v>
      </c>
      <c r="AJ12" s="33" t="s">
        <v>16</v>
      </c>
      <c r="AK12" t="s">
        <v>105</v>
      </c>
    </row>
    <row customFormat="1" customHeight="1" ht="15.75" r="13" s="24" spans="1:37" thickBot="1">
      <c r="A13" s="22" t="s">
        <v>4</v>
      </c>
      <c r="B13" s="21" t="s">
        <v>85</v>
      </c>
      <c r="C13" s="21" t="s">
        <v>18</v>
      </c>
      <c r="D13" t="s">
        <v>3</v>
      </c>
      <c r="E13" s="2" t="s">
        <v>55</v>
      </c>
      <c r="F13" s="2" t="s">
        <v>60</v>
      </c>
      <c r="G13" s="41" t="s">
        <v>101</v>
      </c>
      <c r="H13" s="2" t="s">
        <v>57</v>
      </c>
      <c r="I13" s="21" t="s">
        <v>86</v>
      </c>
      <c r="J13" s="21" t="s">
        <v>99</v>
      </c>
      <c r="K13" s="21" t="s">
        <v>16</v>
      </c>
      <c r="L13" s="21" t="s">
        <v>86</v>
      </c>
      <c r="M13" s="21" t="s">
        <v>15</v>
      </c>
      <c r="N13" s="21" t="s">
        <v>15</v>
      </c>
      <c r="O13" s="21" t="s">
        <v>15</v>
      </c>
      <c r="P13" s="21" t="s">
        <v>15</v>
      </c>
      <c r="Q13" s="20" t="s">
        <v>72</v>
      </c>
      <c r="R13" s="33" t="s">
        <v>16</v>
      </c>
      <c r="S13" s="33" t="s">
        <v>16</v>
      </c>
      <c r="T13" s="33" t="s">
        <v>16</v>
      </c>
      <c r="U13" s="33" t="s">
        <v>16</v>
      </c>
      <c r="V13" s="33" t="s">
        <v>16</v>
      </c>
      <c r="W13" s="33" t="s">
        <v>16</v>
      </c>
      <c r="X13" s="33" t="s">
        <v>16</v>
      </c>
      <c r="Y13" s="33" t="s">
        <v>16</v>
      </c>
      <c r="Z13" s="33" t="s">
        <v>15</v>
      </c>
      <c r="AA13" s="33" t="s">
        <v>16</v>
      </c>
      <c r="AB13" s="33" t="s">
        <v>15</v>
      </c>
      <c r="AC13" s="33" t="s">
        <v>15</v>
      </c>
      <c r="AD13" s="33" t="s">
        <v>97</v>
      </c>
      <c r="AE13" s="33" t="s">
        <v>93</v>
      </c>
      <c r="AF13" s="33" t="s">
        <v>94</v>
      </c>
      <c r="AG13" s="33">
        <v>12</v>
      </c>
      <c r="AH13" s="33">
        <v>2020</v>
      </c>
      <c r="AI13" s="33">
        <v>123</v>
      </c>
      <c r="AJ13" s="33" t="s">
        <v>15</v>
      </c>
      <c r="AK13" s="33" t="s">
        <v>16</v>
      </c>
    </row>
    <row customFormat="1" customHeight="1" ht="15.75" r="14" s="24" spans="1:37" thickBot="1">
      <c r="A14" s="22" t="s">
        <v>5</v>
      </c>
      <c r="B14" s="21" t="s">
        <v>85</v>
      </c>
      <c r="C14" s="21" t="s">
        <v>18</v>
      </c>
      <c r="D14" t="s">
        <v>3</v>
      </c>
      <c r="E14" s="2" t="s">
        <v>55</v>
      </c>
      <c r="F14" s="2" t="s">
        <v>60</v>
      </c>
      <c r="G14" s="41" t="s">
        <v>101</v>
      </c>
      <c r="H14" s="2" t="s">
        <v>57</v>
      </c>
      <c r="I14" s="21" t="s">
        <v>86</v>
      </c>
      <c r="J14" s="21" t="s">
        <v>99</v>
      </c>
      <c r="K14" s="21" t="s">
        <v>16</v>
      </c>
      <c r="L14" s="21" t="s">
        <v>86</v>
      </c>
      <c r="M14" s="21" t="s">
        <v>15</v>
      </c>
      <c r="N14" s="21" t="s">
        <v>15</v>
      </c>
      <c r="O14" s="21" t="s">
        <v>15</v>
      </c>
      <c r="P14" s="21" t="s">
        <v>15</v>
      </c>
      <c r="Q14" s="20" t="s">
        <v>72</v>
      </c>
      <c r="R14" s="33" t="s">
        <v>16</v>
      </c>
      <c r="S14" s="33" t="s">
        <v>16</v>
      </c>
      <c r="T14" s="33" t="s">
        <v>16</v>
      </c>
      <c r="U14" s="33" t="s">
        <v>16</v>
      </c>
      <c r="V14" s="33" t="s">
        <v>16</v>
      </c>
      <c r="W14" s="33" t="s">
        <v>16</v>
      </c>
      <c r="X14" s="33" t="s">
        <v>16</v>
      </c>
      <c r="Y14" s="33" t="s">
        <v>16</v>
      </c>
      <c r="Z14" s="33" t="s">
        <v>16</v>
      </c>
      <c r="AA14" s="33" t="s">
        <v>15</v>
      </c>
      <c r="AB14" s="33" t="s">
        <v>15</v>
      </c>
      <c r="AC14" s="33" t="s">
        <v>15</v>
      </c>
      <c r="AD14" s="33" t="s">
        <v>16</v>
      </c>
      <c r="AE14" s="33" t="s">
        <v>16</v>
      </c>
      <c r="AF14" s="33" t="s">
        <v>16</v>
      </c>
      <c r="AG14" s="33" t="s">
        <v>16</v>
      </c>
      <c r="AH14" s="33" t="s">
        <v>16</v>
      </c>
      <c r="AI14" s="33" t="s">
        <v>16</v>
      </c>
      <c r="AJ14" s="33" t="s">
        <v>16</v>
      </c>
      <c r="AK14" s="33" t="s">
        <v>16</v>
      </c>
    </row>
    <row customFormat="1" customHeight="1" ht="15.75" r="15" s="24" spans="1:37">
      <c r="A15" s="22" t="s">
        <v>6</v>
      </c>
      <c r="B15" s="21" t="s">
        <v>85</v>
      </c>
      <c r="C15" s="21" t="s">
        <v>18</v>
      </c>
      <c r="D15" t="s">
        <v>3</v>
      </c>
      <c r="E15" s="2" t="s">
        <v>55</v>
      </c>
      <c r="F15" s="2" t="s">
        <v>60</v>
      </c>
      <c r="G15" s="41" t="s">
        <v>101</v>
      </c>
      <c r="H15" s="2" t="s">
        <v>57</v>
      </c>
      <c r="I15" s="21" t="s">
        <v>86</v>
      </c>
      <c r="J15" s="21" t="s">
        <v>99</v>
      </c>
      <c r="K15" s="21" t="s">
        <v>15</v>
      </c>
      <c r="L15" s="21" t="s">
        <v>16</v>
      </c>
      <c r="M15" s="21" t="s">
        <v>15</v>
      </c>
      <c r="N15" s="21" t="s">
        <v>15</v>
      </c>
      <c r="O15" s="21" t="s">
        <v>15</v>
      </c>
      <c r="P15" s="21" t="s">
        <v>15</v>
      </c>
      <c r="Q15" s="20" t="s">
        <v>72</v>
      </c>
      <c r="R15" s="33" t="s">
        <v>16</v>
      </c>
      <c r="S15" s="33" t="s">
        <v>16</v>
      </c>
      <c r="T15" s="33" t="s">
        <v>16</v>
      </c>
      <c r="U15" s="33" t="s">
        <v>16</v>
      </c>
      <c r="V15" s="33" t="s">
        <v>16</v>
      </c>
      <c r="W15" s="33" t="s">
        <v>16</v>
      </c>
      <c r="X15" s="33" t="s">
        <v>16</v>
      </c>
      <c r="Y15" s="33" t="s">
        <v>16</v>
      </c>
      <c r="Z15" s="33" t="s">
        <v>15</v>
      </c>
      <c r="AA15" s="33" t="s">
        <v>16</v>
      </c>
      <c r="AB15" s="33" t="s">
        <v>15</v>
      </c>
      <c r="AC15" s="33" t="s">
        <v>15</v>
      </c>
      <c r="AD15" s="33" t="s">
        <v>97</v>
      </c>
      <c r="AE15" s="33" t="s">
        <v>93</v>
      </c>
      <c r="AF15" s="33" t="s">
        <v>94</v>
      </c>
      <c r="AG15" s="33">
        <v>12</v>
      </c>
      <c r="AH15" s="33">
        <v>2020</v>
      </c>
      <c r="AI15" s="33">
        <v>123</v>
      </c>
      <c r="AJ15" s="33" t="s">
        <v>15</v>
      </c>
      <c r="AK15" s="33" t="s">
        <v>16</v>
      </c>
    </row>
    <row customHeight="1" ht="21" r="16" spans="1:37">
      <c r="H16" s="2"/>
      <c r="I16" s="10"/>
      <c r="J16" s="10"/>
      <c r="K16" s="10"/>
      <c r="L16" s="10"/>
      <c r="M16" s="23"/>
    </row>
  </sheetData>
  <mergeCells count="6">
    <mergeCell ref="P11:R11"/>
    <mergeCell ref="AD2:AJ2"/>
    <mergeCell ref="P3:T3"/>
    <mergeCell ref="P6:R6"/>
    <mergeCell ref="P9:R9"/>
    <mergeCell ref="P10:R10"/>
  </mergeCells>
  <phoneticPr fontId="8" type="noConversion"/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E14:I24"/>
  <sheetViews>
    <sheetView workbookViewId="0">
      <selection activeCell="F23" sqref="F23"/>
    </sheetView>
  </sheetViews>
  <sheetFormatPr defaultRowHeight="15"/>
  <sheetData>
    <row r="14" spans="5:6">
      <c r="F14">
        <v>80</v>
      </c>
    </row>
    <row ht="25.5" r="15" spans="5:6">
      <c r="E15" s="28" t="s">
        <v>84</v>
      </c>
      <c r="F15">
        <f>F14*5000+15000</f>
        <v>415000</v>
      </c>
    </row>
    <row r="19" spans="5:8">
      <c r="F19">
        <v>2</v>
      </c>
    </row>
    <row ht="25.5" r="20" spans="5:8">
      <c r="E20" s="28" t="s">
        <v>11</v>
      </c>
      <c r="F20">
        <f>F19*2+12</f>
        <v>16</v>
      </c>
    </row>
    <row r="23" spans="5:8">
      <c r="F23">
        <v>2</v>
      </c>
    </row>
    <row ht="25.5" r="24" spans="5:8">
      <c r="E24" s="28" t="s">
        <v>12</v>
      </c>
      <c r="F24">
        <f>F23*50000+150000</f>
        <v>250000</v>
      </c>
      <c r="H24" s="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Control</vt:lpstr>
      <vt:lpstr>HDFC</vt:lpstr>
      <vt:lpstr>Calculation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2018-05-27T08:10:15Z</dcterms:created>
  <dc:creator>inos006534</dc:creator>
  <cp:lastModifiedBy>inven12919</cp:lastModifiedBy>
  <dcterms:modified xsi:type="dcterms:W3CDTF">2020-06-16T04:41:28Z</dcterms:modified>
</cp:coreProperties>
</file>