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6330" windowWidth="28890" windowHeight="9390" activeTab="1"/>
  </bookViews>
  <sheets>
    <sheet name="Control" sheetId="1" r:id="rId1"/>
    <sheet name="HDFC" sheetId="32" r:id="rId2"/>
    <sheet name="Calculation" sheetId="50" r:id="rId3"/>
  </sheets>
  <externalReferences>
    <externalReference r:id="rId4"/>
    <externalReference r:id="rId5"/>
  </externalReferences>
  <definedNames>
    <definedName name="_xlnm._FilterDatabase" localSheetId="0" hidden="1">Control!$A$1:$C$11</definedName>
    <definedName name="basic_occupation">#REF!</definedName>
    <definedName name="CZ" localSheetId="1">#REF!</definedName>
    <definedName name="CZ">#REF!</definedName>
    <definedName name="NewOccupATION">#REF!</definedName>
    <definedName name="Occupation" localSheetId="1">[1]Control!$E$36:$F$46</definedName>
    <definedName name="Occupation">Control!#REF!</definedName>
    <definedName name="oCCUPATION1" localSheetId="1">[1]MajorDifferent!$WG$27:$WH$38</definedName>
    <definedName name="oCCUPATION1">#REF!</definedName>
    <definedName name="Occupation2" localSheetId="1">[1]Control!$E$35:$F$46</definedName>
    <definedName name="occupation2">[2]EAPP_Dump!$I$18:$J$29</definedName>
    <definedName name="Z_1F6ECD63_8CB2_4B04_80FD_C3EB21F73671_.wvu.FilterData" localSheetId="0" hidden="1">Control!$A$1:$C$11</definedName>
    <definedName name="Z_1F6ECD63_8CB2_4B04_80FD_C3EB21F73671_.wvu.Rows" localSheetId="1" hidden="1">HDFC!$6:$11</definedName>
    <definedName name="Z_36D71D8A_4137_4F7A_AC79_200C252884FD_.wvu.FilterData" localSheetId="0" hidden="1">Control!$A$1:$C$11</definedName>
    <definedName name="Z_36D71D8A_4137_4F7A_AC79_200C252884FD_.wvu.Rows" localSheetId="1" hidden="1">HDFC!$6:$11</definedName>
  </definedNames>
  <calcPr calcId="124519"/>
  <customWorkbookViews>
    <customWorkbookView name="inos005687 - Personal View" guid="{1F6ECD63-8CB2-4B04-80FD-C3EB21F73671}" mergeInterval="0" personalView="1" maximized="1" xWindow="1" yWindow="1" windowWidth="1362" windowHeight="538" tabRatio="763" activeSheetId="5"/>
    <customWorkbookView name="inos006534 - Personal View" guid="{36D71D8A-4137-4F7A-AC79-200C252884FD}" mergeInterval="0" personalView="1" maximized="1" xWindow="1" yWindow="1" windowWidth="1436" windowHeight="680" tabRatio="763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4" i="50"/>
  <c r="F20"/>
  <c r="F15"/>
</calcChain>
</file>

<file path=xl/sharedStrings.xml><?xml version="1.0" encoding="utf-8"?>
<sst xmlns="http://schemas.openxmlformats.org/spreadsheetml/2006/main" count="424" uniqueCount="106">
  <si>
    <t>Sr_No</t>
  </si>
  <si>
    <t>TC_Name</t>
  </si>
  <si>
    <t>001</t>
  </si>
  <si>
    <t>Yes</t>
  </si>
  <si>
    <t>002</t>
  </si>
  <si>
    <t>003</t>
  </si>
  <si>
    <t>004</t>
  </si>
  <si>
    <t>tc_id</t>
  </si>
  <si>
    <t>description</t>
  </si>
  <si>
    <t>flag</t>
  </si>
  <si>
    <t>browser_type</t>
  </si>
  <si>
    <t>Policy_Term</t>
  </si>
  <si>
    <t>Sum_Assured</t>
  </si>
  <si>
    <t>Submit</t>
  </si>
  <si>
    <t>Illustration</t>
  </si>
  <si>
    <t>Click</t>
  </si>
  <si>
    <t>NA</t>
  </si>
  <si>
    <t>No</t>
  </si>
  <si>
    <t>Others</t>
  </si>
  <si>
    <t>H</t>
  </si>
  <si>
    <t>IFSC_Code</t>
  </si>
  <si>
    <t>HDFC</t>
  </si>
  <si>
    <t>Apex Field</t>
  </si>
  <si>
    <t>Apex Header</t>
  </si>
  <si>
    <t> RWS Data</t>
  </si>
  <si>
    <t> PIVC Tool</t>
  </si>
  <si>
    <t> TRCP2 Data</t>
  </si>
  <si>
    <t> Ingenium Field Name</t>
  </si>
  <si>
    <t>FIRST_NAME</t>
  </si>
  <si>
    <t>SURNAME</t>
  </si>
  <si>
    <t>BIRTH_DATE</t>
  </si>
  <si>
    <t>SEX</t>
  </si>
  <si>
    <t>PI</t>
  </si>
  <si>
    <t>INSURED_NAME</t>
  </si>
  <si>
    <t>INS_DOB</t>
  </si>
  <si>
    <t>INS_GENDER</t>
  </si>
  <si>
    <t>Insured Name</t>
  </si>
  <si>
    <t>Date of Birth</t>
  </si>
  <si>
    <t>Insured Gender</t>
  </si>
  <si>
    <t>Name of Life Insured:</t>
  </si>
  <si>
    <t>Insured's DOB:</t>
  </si>
  <si>
    <t> Ingenium Screen Name</t>
  </si>
  <si>
    <t> Ingenium Tab Name</t>
  </si>
  <si>
    <t>Tracking Policy/Requirements</t>
  </si>
  <si>
    <t>Client Inquiry</t>
  </si>
  <si>
    <t>Client</t>
  </si>
  <si>
    <t>New Policy Inquiry</t>
  </si>
  <si>
    <t>Sex</t>
  </si>
  <si>
    <t>Channel Name</t>
  </si>
  <si>
    <t>Execute</t>
  </si>
  <si>
    <t>005</t>
  </si>
  <si>
    <t>006</t>
  </si>
  <si>
    <t>007</t>
  </si>
  <si>
    <t>008</t>
  </si>
  <si>
    <t>009</t>
  </si>
  <si>
    <t>010</t>
  </si>
  <si>
    <t>CHROME</t>
  </si>
  <si>
    <t>URL</t>
  </si>
  <si>
    <t>Chrome</t>
  </si>
  <si>
    <t>ChannelName</t>
  </si>
  <si>
    <t>mod_class_name</t>
  </si>
  <si>
    <t>com.bsli.ibm_web.mod.eappMod</t>
  </si>
  <si>
    <t>Browser</t>
  </si>
  <si>
    <t>I have gone through the features of the product</t>
  </si>
  <si>
    <t>Check_Box1</t>
  </si>
  <si>
    <t>Check_Box2</t>
  </si>
  <si>
    <t>I request Aditya Birla Sun Life Insurance Company Ltd to update</t>
  </si>
  <si>
    <t>I_AGREE</t>
  </si>
  <si>
    <t>PROCEED_TO_PAY</t>
  </si>
  <si>
    <t>NET_BANKING</t>
  </si>
  <si>
    <t>Preferred_Draw_Date</t>
  </si>
  <si>
    <t>Bank_Account_type</t>
  </si>
  <si>
    <t>Other_Method</t>
  </si>
  <si>
    <t>New</t>
  </si>
  <si>
    <t>Account_Number</t>
  </si>
  <si>
    <t>Person_Name</t>
  </si>
  <si>
    <t>Ram Nema</t>
  </si>
  <si>
    <t>987456321147258369</t>
  </si>
  <si>
    <t>HDFC0000060</t>
  </si>
  <si>
    <t>Close_Popup</t>
  </si>
  <si>
    <t>CREDIT_CARD</t>
  </si>
  <si>
    <t>DEBIT_CARD</t>
  </si>
  <si>
    <t>Check_Box3</t>
  </si>
  <si>
    <t>PROCEED</t>
  </si>
  <si>
    <t xml:space="preserve">I hereby confirm that I am the policy owner and declare that premium </t>
  </si>
  <si>
    <t>Premium_Payable</t>
  </si>
  <si>
    <t>HDFC1</t>
  </si>
  <si>
    <t>1</t>
  </si>
  <si>
    <t>Card_No</t>
  </si>
  <si>
    <t>Your_Name</t>
  </si>
  <si>
    <t>Expiry_MM</t>
  </si>
  <si>
    <t>Expiry_YY</t>
  </si>
  <si>
    <t>CVV_NO</t>
  </si>
  <si>
    <t>Submit_Btn</t>
  </si>
  <si>
    <t>4012001037141112</t>
  </si>
  <si>
    <t>test</t>
  </si>
  <si>
    <t>For CREDIT_CARD</t>
  </si>
  <si>
    <t>Pay_With</t>
  </si>
  <si>
    <t>HDFC Bank Credit Card</t>
  </si>
  <si>
    <t>Submit1</t>
  </si>
  <si>
    <t>2</t>
  </si>
  <si>
    <t>8TH</t>
  </si>
  <si>
    <t>https://uat.abcap.co.in/ABSLI/he31nHw</t>
  </si>
  <si>
    <t>Rider_Name_Check_Box</t>
  </si>
  <si>
    <t>011</t>
  </si>
  <si>
    <t>Application_No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</si>
</sst>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u/>
      <sz val="7.7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222222"/>
      <name val="Consolas"/>
      <family val="3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/>
    <xf numFmtId="49" fontId="3" fillId="0" borderId="1" xfId="0" quotePrefix="1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/>
    <xf numFmtId="0" fontId="3" fillId="0" borderId="0" xfId="0" applyFont="1"/>
    <xf numFmtId="49" fontId="3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7" xfId="0" quotePrefix="1" applyFont="1" applyBorder="1" applyAlignment="1">
      <alignment vertical="center"/>
    </xf>
    <xf numFmtId="49" fontId="3" fillId="0" borderId="0" xfId="0" applyNumberFormat="1" applyFont="1" applyFill="1" applyBorder="1"/>
    <xf numFmtId="0" fontId="4" fillId="0" borderId="0" xfId="0" applyFont="1"/>
    <xf numFmtId="0" fontId="0" fillId="3" borderId="1" xfId="0" applyFill="1" applyBorder="1" applyAlignment="1">
      <alignment horizontal="center" vertical="center"/>
    </xf>
    <xf numFmtId="0" fontId="6" fillId="3" borderId="1" xfId="0" applyFont="1" applyFill="1" applyBorder="1"/>
    <xf numFmtId="0" fontId="0" fillId="0" borderId="0" xfId="0" applyFill="1"/>
    <xf numFmtId="49" fontId="3" fillId="0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left" vertical="center"/>
    </xf>
    <xf numFmtId="0" fontId="0" fillId="0" borderId="1" xfId="0" quotePrefix="1" applyFont="1" applyBorder="1" applyAlignment="1">
      <alignment vertical="center"/>
    </xf>
    <xf numFmtId="49" fontId="3" fillId="0" borderId="0" xfId="0" applyNumberFormat="1" applyFont="1" applyFill="1"/>
    <xf numFmtId="0" fontId="6" fillId="0" borderId="1" xfId="0" applyFont="1" applyFill="1" applyBorder="1"/>
    <xf numFmtId="49" fontId="3" fillId="0" borderId="5" xfId="0" applyNumberFormat="1" applyFont="1" applyFill="1" applyBorder="1"/>
    <xf numFmtId="49" fontId="3" fillId="0" borderId="8" xfId="0" applyNumberFormat="1" applyFont="1" applyFill="1" applyBorder="1"/>
    <xf numFmtId="49" fontId="3" fillId="0" borderId="9" xfId="0" quotePrefix="1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10" xfId="0" applyFill="1" applyBorder="1"/>
    <xf numFmtId="0" fontId="0" fillId="4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Fill="1"/>
    <xf numFmtId="49" fontId="0" fillId="0" borderId="0" xfId="0" applyNumberFormat="1"/>
    <xf numFmtId="49" fontId="5" fillId="5" borderId="8" xfId="0" applyNumberFormat="1" applyFont="1" applyFill="1" applyBorder="1"/>
    <xf numFmtId="49" fontId="3" fillId="5" borderId="1" xfId="0" applyNumberFormat="1" applyFont="1" applyFill="1" applyBorder="1"/>
    <xf numFmtId="49" fontId="3" fillId="0" borderId="2" xfId="0" applyNumberFormat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 wrapText="1"/>
    </xf>
    <xf numFmtId="49" fontId="6" fillId="6" borderId="0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49" fontId="5" fillId="5" borderId="5" xfId="0" applyNumberFormat="1" applyFont="1" applyFill="1" applyBorder="1"/>
    <xf numFmtId="0" fontId="1" fillId="0" borderId="0" xfId="1" applyAlignment="1" applyProtection="1"/>
    <xf numFmtId="49" fontId="3" fillId="0" borderId="1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</cellXfs>
  <cellStyles count="4">
    <cellStyle name="Hyperlink" xfId="1" builtinId="8"/>
    <cellStyle name="Hyperlink 2" xfId="2"/>
    <cellStyle name="Hyperlink 2 2" xfId="3"/>
    <cellStyle name="Normal" xfId="0" builtinId="0"/>
  </cellStyles>
  <dxfs count="0"/>
  <tableStyles count="0" defaultTableStyle="TableStyleMedium9" defaultPivotStyle="PivotStyleLight16"/>
  <colors>
    <mruColors>
      <color rgb="FF99FF99"/>
      <color rgb="FFFF5B5B"/>
      <color rgb="FF99FF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rashantPetkar\Box%20Sync\MyTP\Clients\BSLI\TestAutomation\MAPP\Datasheet_Harshal-MajorSame-MY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rashantPetkar\Box%20Sync\MyTP\Clients\BSLI\TestAutomation\MAPP\Datasheet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Sheet2"/>
      <sheetName val="MajorDifferent"/>
      <sheetName val="CancerSheildMaj-Same"/>
      <sheetName val="CancerDiff"/>
      <sheetName val="Criti Same"/>
      <sheetName val="Criti_Diff"/>
      <sheetName val="Minor"/>
      <sheetName val="MinorWOP"/>
      <sheetName val="LIProposerDiff_old"/>
      <sheetName val="JointLife"/>
      <sheetName val="Company"/>
      <sheetName val="Sheet1"/>
    </sheetNames>
    <sheetDataSet>
      <sheetData sheetId="0" refreshError="1">
        <row r="35">
          <cell r="E35" t="str">
            <v>Business Owner</v>
          </cell>
          <cell r="F35" t="str">
            <v>Business</v>
          </cell>
        </row>
        <row r="36">
          <cell r="E36" t="str">
            <v>Service</v>
          </cell>
          <cell r="F36" t="str">
            <v>Service</v>
          </cell>
        </row>
        <row r="37">
          <cell r="E37" t="str">
            <v>Professional</v>
          </cell>
          <cell r="F37" t="str">
            <v>Service</v>
          </cell>
        </row>
        <row r="38">
          <cell r="E38" t="str">
            <v>Retired</v>
          </cell>
          <cell r="F38" t="str">
            <v>Retired</v>
          </cell>
        </row>
        <row r="39">
          <cell r="E39" t="str">
            <v>Student</v>
          </cell>
          <cell r="F39" t="str">
            <v>Student</v>
          </cell>
        </row>
        <row r="40">
          <cell r="E40" t="str">
            <v>House Wife</v>
          </cell>
          <cell r="F40" t="str">
            <v>House Wife</v>
          </cell>
        </row>
        <row r="41">
          <cell r="E41" t="str">
            <v>Agriculture</v>
          </cell>
          <cell r="F41" t="str">
            <v>Aggri</v>
          </cell>
        </row>
        <row r="42">
          <cell r="E42" t="str">
            <v>Driver</v>
          </cell>
          <cell r="F42" t="str">
            <v>Service</v>
          </cell>
        </row>
        <row r="43">
          <cell r="E43" t="str">
            <v>Armed Forces</v>
          </cell>
          <cell r="F43" t="str">
            <v>Police</v>
          </cell>
        </row>
        <row r="44">
          <cell r="E44" t="str">
            <v>Army / Navy / Police</v>
          </cell>
          <cell r="F44" t="str">
            <v>Police</v>
          </cell>
        </row>
        <row r="45">
          <cell r="E45" t="str">
            <v>Skilled Worker</v>
          </cell>
          <cell r="F45" t="str">
            <v>Service</v>
          </cell>
        </row>
        <row r="46">
          <cell r="E46" t="str">
            <v>Others</v>
          </cell>
          <cell r="F46" t="str">
            <v>Others</v>
          </cell>
        </row>
      </sheetData>
      <sheetData sheetId="1" refreshError="1"/>
      <sheetData sheetId="2" refreshError="1">
        <row r="27">
          <cell r="WG27" t="str">
            <v>Business Owner</v>
          </cell>
          <cell r="WH27" t="str">
            <v>Business</v>
          </cell>
        </row>
        <row r="28">
          <cell r="WG28" t="str">
            <v>Service</v>
          </cell>
          <cell r="WH28" t="str">
            <v>Service</v>
          </cell>
        </row>
        <row r="29">
          <cell r="WG29" t="str">
            <v>Professional</v>
          </cell>
          <cell r="WH29" t="str">
            <v>Service</v>
          </cell>
        </row>
        <row r="30">
          <cell r="WG30" t="str">
            <v>Retired</v>
          </cell>
          <cell r="WH30" t="str">
            <v>Retired</v>
          </cell>
        </row>
        <row r="31">
          <cell r="WG31" t="str">
            <v>Student</v>
          </cell>
          <cell r="WH31" t="str">
            <v>Student</v>
          </cell>
        </row>
        <row r="32">
          <cell r="WG32" t="str">
            <v>House Wife</v>
          </cell>
          <cell r="WH32" t="str">
            <v>House Wife</v>
          </cell>
        </row>
        <row r="33">
          <cell r="WG33" t="str">
            <v>Agriculture</v>
          </cell>
          <cell r="WH33" t="str">
            <v>Aggri</v>
          </cell>
        </row>
        <row r="34">
          <cell r="WG34" t="str">
            <v>Driver</v>
          </cell>
          <cell r="WH34" t="str">
            <v>Service</v>
          </cell>
        </row>
        <row r="35">
          <cell r="WG35" t="str">
            <v>Armed Forces</v>
          </cell>
          <cell r="WH35" t="str">
            <v>Police</v>
          </cell>
        </row>
        <row r="36">
          <cell r="WG36" t="str">
            <v>Army / Navy / Police</v>
          </cell>
          <cell r="WH36" t="str">
            <v>Police</v>
          </cell>
        </row>
        <row r="37">
          <cell r="WG37" t="str">
            <v>Skilled Worker</v>
          </cell>
          <cell r="WH37" t="str">
            <v>Service</v>
          </cell>
        </row>
        <row r="38">
          <cell r="WG38" t="str">
            <v>Others</v>
          </cell>
          <cell r="WH38" t="str">
            <v>Others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APP_Dump"/>
      <sheetName val="Sheet1"/>
      <sheetName val="Sheet2"/>
      <sheetName val="Sheet3"/>
      <sheetName val="Sheet4"/>
      <sheetName val="Control"/>
      <sheetName val="MajorSame"/>
      <sheetName val="CSEMastersheet"/>
      <sheetName val="CancerSheildMaj-Same"/>
      <sheetName val="CritiSheildMaj-Same"/>
      <sheetName val="CritiSheild-Maj-Diff"/>
      <sheetName val="Minor"/>
      <sheetName val="MajorDifferent"/>
      <sheetName val="CancerSheildMaj-Diff"/>
      <sheetName val="MinrW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B12" sqref="B12"/>
    </sheetView>
  </sheetViews>
  <sheetFormatPr defaultRowHeight="15"/>
  <cols>
    <col min="1" max="1" width="8.140625" bestFit="1" customWidth="1" collapsed="1"/>
    <col min="2" max="3" width="31.85546875" bestFit="1" customWidth="1" collapsed="1"/>
    <col min="4" max="4" width="11.28515625" bestFit="1" customWidth="1" collapsed="1"/>
  </cols>
  <sheetData>
    <row r="1" spans="1:4" ht="18.75">
      <c r="A1" s="1" t="s">
        <v>0</v>
      </c>
      <c r="B1" s="1" t="s">
        <v>48</v>
      </c>
      <c r="C1" s="1" t="s">
        <v>1</v>
      </c>
      <c r="D1" s="1" t="s">
        <v>49</v>
      </c>
    </row>
    <row r="2" spans="1:4">
      <c r="A2" s="9" t="s">
        <v>2</v>
      </c>
      <c r="B2" s="43" t="s">
        <v>19</v>
      </c>
      <c r="C2" s="25" t="s">
        <v>21</v>
      </c>
      <c r="D2" s="12" t="s">
        <v>3</v>
      </c>
    </row>
    <row r="3" spans="1:4">
      <c r="A3" s="9" t="s">
        <v>4</v>
      </c>
      <c r="B3" s="44"/>
      <c r="C3" s="8"/>
      <c r="D3" s="12"/>
    </row>
    <row r="4" spans="1:4">
      <c r="A4" s="9" t="s">
        <v>5</v>
      </c>
      <c r="B4" s="44"/>
      <c r="C4" s="8"/>
      <c r="D4" s="12"/>
    </row>
    <row r="5" spans="1:4">
      <c r="A5" s="9" t="s">
        <v>6</v>
      </c>
      <c r="B5" s="44"/>
      <c r="C5" s="25"/>
      <c r="D5" s="12"/>
    </row>
    <row r="6" spans="1:4">
      <c r="A6" s="9" t="s">
        <v>50</v>
      </c>
      <c r="B6" s="44"/>
      <c r="C6" s="8"/>
      <c r="D6" s="12"/>
    </row>
    <row r="7" spans="1:4">
      <c r="A7" s="9" t="s">
        <v>51</v>
      </c>
      <c r="B7" s="44"/>
      <c r="C7" s="8"/>
      <c r="D7" s="12"/>
    </row>
    <row r="8" spans="1:4">
      <c r="A8" s="9" t="s">
        <v>52</v>
      </c>
      <c r="B8" s="44"/>
      <c r="C8" s="8"/>
      <c r="D8" s="12"/>
    </row>
    <row r="9" spans="1:4">
      <c r="A9" s="9" t="s">
        <v>53</v>
      </c>
      <c r="B9" s="44"/>
      <c r="C9" s="8"/>
      <c r="D9" s="7"/>
    </row>
    <row r="10" spans="1:4">
      <c r="A10" s="9" t="s">
        <v>54</v>
      </c>
      <c r="B10" s="44"/>
      <c r="C10" s="25"/>
      <c r="D10" s="7"/>
    </row>
    <row r="11" spans="1:4">
      <c r="A11" s="17" t="s">
        <v>55</v>
      </c>
      <c r="B11" s="45"/>
      <c r="C11" s="8"/>
      <c r="D11" s="7"/>
    </row>
  </sheetData>
  <customSheetViews>
    <customSheetView guid="{1F6ECD63-8CB2-4B04-80FD-C3EB21F73671}" state="hidden">
      <selection activeCell="E21" sqref="E21"/>
      <pageMargins left="0.7" right="0.7" top="0.75" bottom="0.75" header="0.3" footer="0.3"/>
      <pageSetup orientation="portrait" r:id="rId1"/>
    </customSheetView>
    <customSheetView guid="{36D71D8A-4137-4F7A-AC79-200C252884FD}">
      <pageMargins left="0.7" right="0.7" top="0.75" bottom="0.75" header="0.3" footer="0.3"/>
      <pageSetup orientation="portrait" r:id="rId2"/>
    </customSheetView>
  </customSheetViews>
  <mergeCells count="1">
    <mergeCell ref="B2:B1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X23"/>
  <sheetViews>
    <sheetView tabSelected="1" workbookViewId="0">
      <selection activeCell="D13" sqref="D13"/>
    </sheetView>
  </sheetViews>
  <sheetFormatPr defaultColWidth="9.140625" defaultRowHeight="21" customHeight="1"/>
  <cols>
    <col min="1" max="1" width="5.28515625" style="14" bestFit="1" customWidth="1" collapsed="1"/>
    <col min="2" max="2" width="45" style="14" bestFit="1" customWidth="1" collapsed="1"/>
    <col min="3" max="3" width="13.5703125" style="14" bestFit="1" customWidth="1" collapsed="1"/>
    <col min="4" max="4" width="4.140625" style="14" bestFit="1" customWidth="1" collapsed="1"/>
    <col min="5" max="5" width="12.7109375" style="14" bestFit="1" customWidth="1" collapsed="1"/>
    <col min="6" max="6" width="23.28515625" style="5" bestFit="1" customWidth="1" collapsed="1"/>
    <col min="7" max="7" width="14.140625" style="31" customWidth="1"/>
    <col min="8" max="8" width="16.85546875" style="5" customWidth="1" collapsed="1"/>
    <col min="9" max="12" width="16.85546875" style="5" customWidth="1"/>
    <col min="13" max="13" width="21.42578125" style="14" customWidth="1" collapsed="1"/>
    <col min="14" max="14" width="7.140625" style="14" bestFit="1" customWidth="1" collapsed="1"/>
    <col min="15" max="15" width="29.28515625" style="14" customWidth="1" collapsed="1"/>
    <col min="16" max="16" width="17.28515625" style="14" customWidth="1" collapsed="1"/>
    <col min="17" max="17" width="17.28515625" style="14" customWidth="1"/>
    <col min="18" max="18" width="9.28515625" style="14" bestFit="1" customWidth="1" collapsed="1"/>
    <col min="19" max="19" width="26.7109375" style="14" bestFit="1" customWidth="1" collapsed="1"/>
    <col min="20" max="20" width="14.42578125" style="14" bestFit="1" customWidth="1" collapsed="1"/>
    <col min="21" max="21" width="10.7109375" style="14" bestFit="1" customWidth="1" collapsed="1"/>
    <col min="22" max="22" width="10.7109375" style="14" customWidth="1"/>
    <col min="23" max="23" width="28.85546875" style="14" bestFit="1" customWidth="1" collapsed="1"/>
    <col min="24" max="31" width="28.85546875" style="14" customWidth="1"/>
    <col min="32" max="934" width="9.140625" style="14"/>
    <col min="935" max="16384" width="9.140625" style="14" collapsed="1"/>
  </cols>
  <sheetData>
    <row r="1" spans="1:37" ht="25.5">
      <c r="A1" s="28" t="s">
        <v>7</v>
      </c>
      <c r="B1" s="28" t="s">
        <v>8</v>
      </c>
      <c r="C1" s="28" t="s">
        <v>59</v>
      </c>
      <c r="D1" s="28" t="s">
        <v>9</v>
      </c>
      <c r="E1" s="28" t="s">
        <v>10</v>
      </c>
      <c r="F1" s="28" t="s">
        <v>60</v>
      </c>
      <c r="G1" s="29" t="s">
        <v>57</v>
      </c>
      <c r="H1" s="28" t="s">
        <v>62</v>
      </c>
      <c r="I1" s="28" t="s">
        <v>85</v>
      </c>
      <c r="J1" s="28" t="s">
        <v>11</v>
      </c>
      <c r="K1" s="28" t="s">
        <v>103</v>
      </c>
      <c r="L1" s="28" t="s">
        <v>12</v>
      </c>
      <c r="M1" s="28" t="s">
        <v>64</v>
      </c>
      <c r="N1" s="28" t="s">
        <v>67</v>
      </c>
      <c r="O1" s="28" t="s">
        <v>65</v>
      </c>
      <c r="P1" s="28" t="s">
        <v>68</v>
      </c>
      <c r="Q1" s="28" t="s">
        <v>105</v>
      </c>
      <c r="R1" s="28" t="s">
        <v>69</v>
      </c>
      <c r="S1" s="28" t="s">
        <v>70</v>
      </c>
      <c r="T1" s="28" t="s">
        <v>71</v>
      </c>
      <c r="U1" s="28" t="s">
        <v>72</v>
      </c>
      <c r="V1" s="28" t="s">
        <v>75</v>
      </c>
      <c r="W1" s="28" t="s">
        <v>74</v>
      </c>
      <c r="X1" s="28" t="s">
        <v>20</v>
      </c>
      <c r="Y1" s="28" t="s">
        <v>79</v>
      </c>
      <c r="Z1" s="28" t="s">
        <v>80</v>
      </c>
      <c r="AA1" s="28" t="s">
        <v>81</v>
      </c>
      <c r="AB1" s="28" t="s">
        <v>82</v>
      </c>
      <c r="AC1" s="28" t="s">
        <v>83</v>
      </c>
      <c r="AD1" s="28" t="s">
        <v>97</v>
      </c>
      <c r="AE1" s="28" t="s">
        <v>88</v>
      </c>
      <c r="AF1" s="28" t="s">
        <v>89</v>
      </c>
      <c r="AG1" s="28" t="s">
        <v>90</v>
      </c>
      <c r="AH1" s="28" t="s">
        <v>91</v>
      </c>
      <c r="AI1" s="28" t="s">
        <v>92</v>
      </c>
      <c r="AJ1" s="28" t="s">
        <v>93</v>
      </c>
      <c r="AK1" s="28" t="s">
        <v>99</v>
      </c>
    </row>
    <row r="2" spans="1:37" ht="41.25" customHeight="1">
      <c r="A2" s="28"/>
      <c r="B2" s="28"/>
      <c r="C2" s="28"/>
      <c r="D2" s="28"/>
      <c r="E2" s="28"/>
      <c r="F2" s="35"/>
      <c r="G2" s="36"/>
      <c r="H2" s="35"/>
      <c r="I2" s="35"/>
      <c r="J2" s="35"/>
      <c r="K2" s="35"/>
      <c r="L2" s="35"/>
      <c r="M2" s="28" t="s">
        <v>63</v>
      </c>
      <c r="N2" s="28"/>
      <c r="O2" s="28" t="s">
        <v>66</v>
      </c>
      <c r="P2" s="37"/>
      <c r="Q2" s="39"/>
      <c r="R2" s="39"/>
      <c r="S2" s="39"/>
      <c r="T2" s="38"/>
      <c r="U2" s="28"/>
      <c r="V2" s="28"/>
      <c r="W2" s="28"/>
      <c r="X2" s="28"/>
      <c r="Y2" s="28"/>
      <c r="Z2" s="28"/>
      <c r="AA2" s="28"/>
      <c r="AB2" s="28" t="s">
        <v>84</v>
      </c>
      <c r="AC2" s="28"/>
      <c r="AD2" s="47" t="s">
        <v>96</v>
      </c>
      <c r="AE2" s="48"/>
      <c r="AF2" s="48"/>
      <c r="AG2" s="48"/>
      <c r="AH2" s="48"/>
      <c r="AI2" s="48"/>
      <c r="AJ2" s="49"/>
    </row>
    <row r="3" spans="1:37" ht="16.5" customHeight="1">
      <c r="A3" s="3"/>
      <c r="B3" s="26"/>
      <c r="C3" s="26" t="s">
        <v>48</v>
      </c>
      <c r="D3" s="26"/>
      <c r="E3" s="26"/>
      <c r="G3" s="30"/>
      <c r="M3" s="34"/>
      <c r="N3" s="26" t="s">
        <v>13</v>
      </c>
      <c r="O3" s="27"/>
      <c r="P3" s="50"/>
      <c r="Q3" s="51"/>
      <c r="R3" s="51"/>
      <c r="S3" s="51"/>
      <c r="T3" s="52"/>
      <c r="U3" s="6" t="s">
        <v>14</v>
      </c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7" ht="10.5" customHeight="1">
      <c r="A4" s="2"/>
      <c r="B4" s="2" t="s">
        <v>22</v>
      </c>
      <c r="C4" s="2"/>
      <c r="D4" s="2"/>
      <c r="E4" s="2"/>
      <c r="G4" s="18"/>
      <c r="M4" s="2"/>
      <c r="N4" s="2"/>
      <c r="O4" s="4"/>
      <c r="P4" s="2" t="s">
        <v>28</v>
      </c>
      <c r="Q4" s="2"/>
      <c r="R4" s="2" t="s">
        <v>29</v>
      </c>
      <c r="S4" s="2" t="s">
        <v>30</v>
      </c>
      <c r="T4" s="2" t="s">
        <v>31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7" ht="11.25" customHeight="1">
      <c r="A5" s="2"/>
      <c r="B5" s="2" t="s">
        <v>23</v>
      </c>
      <c r="C5" s="2"/>
      <c r="D5" s="2"/>
      <c r="E5" s="2"/>
      <c r="G5" s="18"/>
      <c r="M5" s="2"/>
      <c r="N5" s="2"/>
      <c r="O5" s="4"/>
      <c r="P5" s="2" t="s">
        <v>32</v>
      </c>
      <c r="Q5" s="2"/>
      <c r="R5" s="2" t="s">
        <v>32</v>
      </c>
      <c r="S5" s="2" t="s">
        <v>32</v>
      </c>
      <c r="T5" s="2" t="s">
        <v>32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7" ht="10.5" customHeight="1">
      <c r="A6" s="19"/>
      <c r="B6" s="19" t="s">
        <v>24</v>
      </c>
      <c r="C6" s="19"/>
      <c r="D6" s="19"/>
      <c r="E6" s="19"/>
      <c r="G6"/>
      <c r="M6" s="19"/>
      <c r="N6" s="19"/>
      <c r="O6" s="13"/>
      <c r="P6" s="46" t="s">
        <v>33</v>
      </c>
      <c r="Q6" s="46"/>
      <c r="R6" s="46"/>
      <c r="S6" s="2" t="s">
        <v>34</v>
      </c>
      <c r="T6" s="2" t="s">
        <v>35</v>
      </c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pans="1:37" ht="12.75" customHeight="1">
      <c r="A7" s="26"/>
      <c r="B7" s="16" t="s">
        <v>25</v>
      </c>
      <c r="C7" s="16"/>
      <c r="D7" s="2"/>
      <c r="E7" s="2"/>
      <c r="G7"/>
      <c r="M7" s="2"/>
      <c r="N7" s="2"/>
      <c r="O7" s="4"/>
      <c r="P7" s="15" t="s">
        <v>36</v>
      </c>
      <c r="Q7" s="42"/>
      <c r="R7" s="15"/>
      <c r="S7" s="2" t="s">
        <v>37</v>
      </c>
      <c r="T7" s="2" t="s">
        <v>38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7" ht="10.5" customHeight="1">
      <c r="A8" s="19"/>
      <c r="B8" s="19" t="s">
        <v>26</v>
      </c>
      <c r="C8" s="19"/>
      <c r="D8" s="26"/>
      <c r="E8" s="26"/>
      <c r="G8" s="18"/>
      <c r="M8" s="26"/>
      <c r="N8" s="26"/>
      <c r="O8" s="27"/>
      <c r="P8" s="2" t="s">
        <v>16</v>
      </c>
      <c r="Q8" s="2"/>
      <c r="R8" s="2" t="s">
        <v>16</v>
      </c>
      <c r="S8" s="2" t="s">
        <v>16</v>
      </c>
      <c r="T8" s="2" t="s">
        <v>16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7" ht="12.75" customHeight="1">
      <c r="A9" s="2"/>
      <c r="B9" s="2" t="s">
        <v>27</v>
      </c>
      <c r="C9" s="2"/>
      <c r="D9" s="2"/>
      <c r="E9" s="2"/>
      <c r="G9" s="18"/>
      <c r="M9" s="2"/>
      <c r="N9" s="2"/>
      <c r="O9" s="4"/>
      <c r="P9" s="46" t="s">
        <v>39</v>
      </c>
      <c r="Q9" s="46"/>
      <c r="R9" s="46"/>
      <c r="S9" s="2" t="s">
        <v>40</v>
      </c>
      <c r="T9" s="2" t="s">
        <v>47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7" ht="10.5" customHeight="1">
      <c r="A10" s="2"/>
      <c r="B10" s="2" t="s">
        <v>41</v>
      </c>
      <c r="C10" s="2"/>
      <c r="D10" s="2"/>
      <c r="E10" s="2"/>
      <c r="G10" s="18"/>
      <c r="M10" s="2"/>
      <c r="N10" s="2"/>
      <c r="O10" s="4"/>
      <c r="P10" s="46" t="s">
        <v>43</v>
      </c>
      <c r="Q10" s="46"/>
      <c r="R10" s="46"/>
      <c r="S10" s="15" t="s">
        <v>43</v>
      </c>
      <c r="T10" s="2" t="s">
        <v>44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7" ht="12" customHeight="1" thickBot="1">
      <c r="A11" s="2"/>
      <c r="B11" s="2" t="s">
        <v>42</v>
      </c>
      <c r="C11" s="2"/>
      <c r="D11" s="2"/>
      <c r="E11" s="2"/>
      <c r="G11" s="18"/>
      <c r="M11" s="2"/>
      <c r="N11" s="2"/>
      <c r="O11" s="4"/>
      <c r="P11" s="46" t="s">
        <v>46</v>
      </c>
      <c r="Q11" s="46"/>
      <c r="R11" s="46"/>
      <c r="S11" s="15" t="s">
        <v>46</v>
      </c>
      <c r="T11" s="2" t="s">
        <v>45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7" s="24" customFormat="1" ht="15.75" customHeight="1" thickBot="1">
      <c r="A12" s="22" t="s">
        <v>2</v>
      </c>
      <c r="B12" s="21" t="s">
        <v>86</v>
      </c>
      <c r="C12" s="21" t="s">
        <v>19</v>
      </c>
      <c r="D12" t="s">
        <v>17</v>
      </c>
      <c r="E12" s="2" t="s">
        <v>56</v>
      </c>
      <c r="F12" s="2" t="s">
        <v>61</v>
      </c>
      <c r="G12" s="41" t="s">
        <v>102</v>
      </c>
      <c r="H12" s="2" t="s">
        <v>58</v>
      </c>
      <c r="I12" s="21" t="s">
        <v>87</v>
      </c>
      <c r="J12" s="21" t="s">
        <v>100</v>
      </c>
      <c r="K12" s="21" t="s">
        <v>16</v>
      </c>
      <c r="L12" s="21" t="s">
        <v>87</v>
      </c>
      <c r="M12" s="21" t="s">
        <v>15</v>
      </c>
      <c r="N12" s="21" t="s">
        <v>15</v>
      </c>
      <c r="O12" s="21" t="s">
        <v>15</v>
      </c>
      <c r="P12" s="21" t="s">
        <v>15</v>
      </c>
      <c r="Q12" s="20" t="s">
        <v>73</v>
      </c>
      <c r="R12" s="21" t="s">
        <v>15</v>
      </c>
      <c r="S12" s="11" t="s">
        <v>101</v>
      </c>
      <c r="T12" s="21" t="s">
        <v>18</v>
      </c>
      <c r="U12" s="32" t="s">
        <v>73</v>
      </c>
      <c r="V12" s="40" t="s">
        <v>76</v>
      </c>
      <c r="W12" s="33" t="s">
        <v>77</v>
      </c>
      <c r="X12" s="33" t="s">
        <v>78</v>
      </c>
      <c r="Y12" s="33" t="s">
        <v>15</v>
      </c>
      <c r="Z12" s="33" t="s">
        <v>16</v>
      </c>
      <c r="AA12" s="33" t="s">
        <v>16</v>
      </c>
      <c r="AB12" s="33" t="s">
        <v>15</v>
      </c>
      <c r="AC12" s="33" t="s">
        <v>15</v>
      </c>
      <c r="AD12" s="33" t="s">
        <v>16</v>
      </c>
      <c r="AE12" s="33" t="s">
        <v>16</v>
      </c>
      <c r="AF12" s="33" t="s">
        <v>16</v>
      </c>
      <c r="AG12" s="33" t="s">
        <v>16</v>
      </c>
      <c r="AH12" s="33" t="s">
        <v>16</v>
      </c>
      <c r="AI12" s="33" t="s">
        <v>16</v>
      </c>
      <c r="AJ12" s="33" t="s">
        <v>16</v>
      </c>
      <c r="AK12" s="33" t="s">
        <v>16</v>
      </c>
    </row>
    <row r="13" spans="1:37" s="24" customFormat="1" ht="15.75" customHeight="1" thickBot="1">
      <c r="A13" s="22" t="s">
        <v>4</v>
      </c>
      <c r="B13" s="21" t="s">
        <v>86</v>
      </c>
      <c r="C13" s="21" t="s">
        <v>19</v>
      </c>
      <c r="D13" t="s">
        <v>17</v>
      </c>
      <c r="E13" s="2" t="s">
        <v>56</v>
      </c>
      <c r="F13" s="2" t="s">
        <v>61</v>
      </c>
      <c r="G13" s="41" t="s">
        <v>102</v>
      </c>
      <c r="H13" s="2" t="s">
        <v>58</v>
      </c>
      <c r="I13" s="21" t="s">
        <v>87</v>
      </c>
      <c r="J13" s="21" t="s">
        <v>100</v>
      </c>
      <c r="K13" s="21" t="s">
        <v>16</v>
      </c>
      <c r="L13" s="21" t="s">
        <v>87</v>
      </c>
      <c r="M13" s="21" t="s">
        <v>15</v>
      </c>
      <c r="N13" s="21" t="s">
        <v>15</v>
      </c>
      <c r="O13" s="21" t="s">
        <v>15</v>
      </c>
      <c r="P13" s="21" t="s">
        <v>15</v>
      </c>
      <c r="Q13" s="20" t="s">
        <v>73</v>
      </c>
      <c r="R13" s="33" t="s">
        <v>16</v>
      </c>
      <c r="S13" s="33" t="s">
        <v>16</v>
      </c>
      <c r="T13" s="33" t="s">
        <v>16</v>
      </c>
      <c r="U13" s="33" t="s">
        <v>16</v>
      </c>
      <c r="V13" s="33" t="s">
        <v>16</v>
      </c>
      <c r="W13" s="33" t="s">
        <v>16</v>
      </c>
      <c r="X13" s="33" t="s">
        <v>16</v>
      </c>
      <c r="Y13" s="33" t="s">
        <v>16</v>
      </c>
      <c r="Z13" s="33" t="s">
        <v>15</v>
      </c>
      <c r="AA13" s="33" t="s">
        <v>16</v>
      </c>
      <c r="AB13" s="33" t="s">
        <v>15</v>
      </c>
      <c r="AC13" s="33" t="s">
        <v>15</v>
      </c>
      <c r="AD13" s="33" t="s">
        <v>98</v>
      </c>
      <c r="AE13" s="33" t="s">
        <v>94</v>
      </c>
      <c r="AF13" s="33" t="s">
        <v>95</v>
      </c>
      <c r="AG13" s="33">
        <v>12</v>
      </c>
      <c r="AH13" s="33">
        <v>2020</v>
      </c>
      <c r="AI13" s="33">
        <v>123</v>
      </c>
      <c r="AJ13" s="33" t="s">
        <v>15</v>
      </c>
      <c r="AK13" s="33" t="s">
        <v>16</v>
      </c>
    </row>
    <row r="14" spans="1:37" s="24" customFormat="1" ht="15.75" customHeight="1" thickBot="1">
      <c r="A14" s="22" t="s">
        <v>5</v>
      </c>
      <c r="B14" s="21" t="s">
        <v>86</v>
      </c>
      <c r="C14" s="21" t="s">
        <v>19</v>
      </c>
      <c r="D14" t="s">
        <v>3</v>
      </c>
      <c r="E14" s="2" t="s">
        <v>56</v>
      </c>
      <c r="F14" s="2" t="s">
        <v>61</v>
      </c>
      <c r="G14" s="41" t="s">
        <v>102</v>
      </c>
      <c r="H14" s="2" t="s">
        <v>58</v>
      </c>
      <c r="I14" s="21" t="s">
        <v>87</v>
      </c>
      <c r="J14" s="21" t="s">
        <v>100</v>
      </c>
      <c r="K14" s="21" t="s">
        <v>16</v>
      </c>
      <c r="L14" s="21" t="s">
        <v>87</v>
      </c>
      <c r="M14" s="21" t="s">
        <v>15</v>
      </c>
      <c r="N14" s="21" t="s">
        <v>15</v>
      </c>
      <c r="O14" s="21" t="s">
        <v>15</v>
      </c>
      <c r="P14" s="21" t="s">
        <v>15</v>
      </c>
      <c r="Q14" s="20" t="s">
        <v>73</v>
      </c>
      <c r="R14" s="33" t="s">
        <v>16</v>
      </c>
      <c r="S14" s="33" t="s">
        <v>16</v>
      </c>
      <c r="T14" s="33" t="s">
        <v>16</v>
      </c>
      <c r="U14" s="33" t="s">
        <v>16</v>
      </c>
      <c r="V14" s="33" t="s">
        <v>16</v>
      </c>
      <c r="W14" s="33" t="s">
        <v>16</v>
      </c>
      <c r="X14" s="33" t="s">
        <v>16</v>
      </c>
      <c r="Y14" s="33" t="s">
        <v>16</v>
      </c>
      <c r="Z14" s="33" t="s">
        <v>16</v>
      </c>
      <c r="AA14" s="33" t="s">
        <v>15</v>
      </c>
      <c r="AB14" s="33" t="s">
        <v>15</v>
      </c>
      <c r="AC14" s="33" t="s">
        <v>15</v>
      </c>
      <c r="AD14" s="33" t="s">
        <v>16</v>
      </c>
      <c r="AE14" s="33" t="s">
        <v>16</v>
      </c>
      <c r="AF14" s="33" t="s">
        <v>16</v>
      </c>
      <c r="AG14" s="33" t="s">
        <v>16</v>
      </c>
      <c r="AH14" s="33" t="s">
        <v>16</v>
      </c>
      <c r="AI14" s="33" t="s">
        <v>16</v>
      </c>
      <c r="AJ14" s="33" t="s">
        <v>16</v>
      </c>
      <c r="AK14" s="33" t="s">
        <v>16</v>
      </c>
    </row>
    <row r="15" spans="1:37" s="24" customFormat="1" ht="15.75" customHeight="1" thickBot="1">
      <c r="A15" s="22" t="s">
        <v>6</v>
      </c>
      <c r="B15" s="21" t="s">
        <v>86</v>
      </c>
      <c r="C15" s="21" t="s">
        <v>19</v>
      </c>
      <c r="D15" t="s">
        <v>17</v>
      </c>
      <c r="E15" s="2" t="s">
        <v>56</v>
      </c>
      <c r="F15" s="2" t="s">
        <v>61</v>
      </c>
      <c r="G15" s="41" t="s">
        <v>102</v>
      </c>
      <c r="H15" s="2" t="s">
        <v>58</v>
      </c>
      <c r="I15" s="21" t="s">
        <v>87</v>
      </c>
      <c r="J15" s="21" t="s">
        <v>100</v>
      </c>
      <c r="K15" s="21" t="s">
        <v>15</v>
      </c>
      <c r="L15" s="21" t="s">
        <v>16</v>
      </c>
      <c r="M15" s="21" t="s">
        <v>15</v>
      </c>
      <c r="N15" s="21" t="s">
        <v>15</v>
      </c>
      <c r="O15" s="21" t="s">
        <v>15</v>
      </c>
      <c r="P15" s="21" t="s">
        <v>15</v>
      </c>
      <c r="Q15" s="20" t="s">
        <v>73</v>
      </c>
      <c r="R15" s="33" t="s">
        <v>16</v>
      </c>
      <c r="S15" s="33" t="s">
        <v>16</v>
      </c>
      <c r="T15" s="33" t="s">
        <v>16</v>
      </c>
      <c r="U15" s="33" t="s">
        <v>16</v>
      </c>
      <c r="V15" s="33" t="s">
        <v>16</v>
      </c>
      <c r="W15" s="33" t="s">
        <v>16</v>
      </c>
      <c r="X15" s="33" t="s">
        <v>16</v>
      </c>
      <c r="Y15" s="33" t="s">
        <v>16</v>
      </c>
      <c r="Z15" s="33" t="s">
        <v>15</v>
      </c>
      <c r="AA15" s="33" t="s">
        <v>16</v>
      </c>
      <c r="AB15" s="33" t="s">
        <v>15</v>
      </c>
      <c r="AC15" s="33" t="s">
        <v>15</v>
      </c>
      <c r="AD15" s="33" t="s">
        <v>98</v>
      </c>
      <c r="AE15" s="33" t="s">
        <v>94</v>
      </c>
      <c r="AF15" s="33" t="s">
        <v>95</v>
      </c>
      <c r="AG15" s="33">
        <v>12</v>
      </c>
      <c r="AH15" s="33">
        <v>2020</v>
      </c>
      <c r="AI15" s="33">
        <v>123</v>
      </c>
      <c r="AJ15" s="33" t="s">
        <v>15</v>
      </c>
      <c r="AK15" s="33" t="s">
        <v>16</v>
      </c>
    </row>
    <row r="16" spans="1:37" s="24" customFormat="1" ht="15.75" customHeight="1" thickBot="1">
      <c r="A16" s="22" t="s">
        <v>50</v>
      </c>
      <c r="B16" s="21" t="s">
        <v>86</v>
      </c>
      <c r="C16" s="21" t="s">
        <v>19</v>
      </c>
      <c r="D16" t="s">
        <v>17</v>
      </c>
      <c r="E16" s="2" t="s">
        <v>56</v>
      </c>
      <c r="F16" s="2" t="s">
        <v>61</v>
      </c>
      <c r="G16" s="41" t="s">
        <v>102</v>
      </c>
      <c r="H16" s="2" t="s">
        <v>58</v>
      </c>
      <c r="I16" s="21" t="s">
        <v>87</v>
      </c>
      <c r="J16" s="21" t="s">
        <v>100</v>
      </c>
      <c r="K16" s="21" t="s">
        <v>16</v>
      </c>
      <c r="L16" s="21" t="s">
        <v>87</v>
      </c>
      <c r="M16" s="21" t="s">
        <v>15</v>
      </c>
      <c r="N16" s="21" t="s">
        <v>15</v>
      </c>
      <c r="O16" s="21" t="s">
        <v>15</v>
      </c>
      <c r="P16" s="21" t="s">
        <v>15</v>
      </c>
      <c r="Q16" s="20" t="s">
        <v>73</v>
      </c>
      <c r="R16" s="33" t="s">
        <v>16</v>
      </c>
      <c r="S16" s="33" t="s">
        <v>16</v>
      </c>
      <c r="T16" s="33" t="s">
        <v>16</v>
      </c>
      <c r="U16" s="33" t="s">
        <v>16</v>
      </c>
      <c r="V16" s="33" t="s">
        <v>16</v>
      </c>
      <c r="W16" s="33" t="s">
        <v>16</v>
      </c>
      <c r="X16" s="33" t="s">
        <v>16</v>
      </c>
      <c r="Y16" s="33" t="s">
        <v>16</v>
      </c>
      <c r="Z16" s="33" t="s">
        <v>15</v>
      </c>
      <c r="AA16" s="33" t="s">
        <v>16</v>
      </c>
      <c r="AB16" s="33" t="s">
        <v>15</v>
      </c>
      <c r="AC16" s="33" t="s">
        <v>15</v>
      </c>
      <c r="AD16" s="33"/>
      <c r="AE16" s="33"/>
    </row>
    <row r="17" spans="1:31" s="24" customFormat="1" ht="15.75" customHeight="1" thickBot="1">
      <c r="A17" s="22" t="s">
        <v>51</v>
      </c>
      <c r="B17" s="21" t="s">
        <v>86</v>
      </c>
      <c r="C17" s="21" t="s">
        <v>19</v>
      </c>
      <c r="D17" t="s">
        <v>17</v>
      </c>
      <c r="E17" s="2" t="s">
        <v>56</v>
      </c>
      <c r="F17" s="2" t="s">
        <v>61</v>
      </c>
      <c r="G17" s="41" t="s">
        <v>102</v>
      </c>
      <c r="H17" s="2" t="s">
        <v>58</v>
      </c>
      <c r="I17" s="21" t="s">
        <v>87</v>
      </c>
      <c r="J17" s="21" t="s">
        <v>100</v>
      </c>
      <c r="K17" s="21" t="s">
        <v>16</v>
      </c>
      <c r="L17" s="21" t="s">
        <v>87</v>
      </c>
      <c r="M17" s="21" t="s">
        <v>15</v>
      </c>
      <c r="N17" s="21" t="s">
        <v>15</v>
      </c>
      <c r="O17" s="21" t="s">
        <v>15</v>
      </c>
      <c r="P17" s="21" t="s">
        <v>15</v>
      </c>
      <c r="Q17" s="20" t="s">
        <v>73</v>
      </c>
      <c r="R17" s="33" t="s">
        <v>16</v>
      </c>
      <c r="S17" s="33" t="s">
        <v>16</v>
      </c>
      <c r="T17" s="33" t="s">
        <v>16</v>
      </c>
      <c r="U17" s="33" t="s">
        <v>16</v>
      </c>
      <c r="V17" s="33" t="s">
        <v>16</v>
      </c>
      <c r="W17" s="33" t="s">
        <v>16</v>
      </c>
      <c r="X17" s="33" t="s">
        <v>16</v>
      </c>
      <c r="Y17" s="33" t="s">
        <v>16</v>
      </c>
      <c r="Z17" s="33" t="s">
        <v>15</v>
      </c>
      <c r="AA17" s="33" t="s">
        <v>16</v>
      </c>
      <c r="AB17" s="33" t="s">
        <v>15</v>
      </c>
      <c r="AC17" s="33" t="s">
        <v>15</v>
      </c>
      <c r="AD17" s="33"/>
      <c r="AE17" s="33"/>
    </row>
    <row r="18" spans="1:31" s="24" customFormat="1" ht="15.75" customHeight="1" thickBot="1">
      <c r="A18" s="22" t="s">
        <v>52</v>
      </c>
      <c r="B18" s="21" t="s">
        <v>86</v>
      </c>
      <c r="C18" s="21" t="s">
        <v>19</v>
      </c>
      <c r="D18" t="s">
        <v>17</v>
      </c>
      <c r="E18" s="2" t="s">
        <v>56</v>
      </c>
      <c r="F18" s="2" t="s">
        <v>61</v>
      </c>
      <c r="G18" s="41" t="s">
        <v>102</v>
      </c>
      <c r="H18" s="2" t="s">
        <v>58</v>
      </c>
      <c r="I18" s="20"/>
      <c r="J18" s="20"/>
      <c r="K18" s="20"/>
      <c r="L18" s="20"/>
      <c r="M18" s="21" t="s">
        <v>15</v>
      </c>
      <c r="N18" s="21" t="s">
        <v>15</v>
      </c>
      <c r="O18" s="21" t="s">
        <v>15</v>
      </c>
      <c r="P18" s="21" t="s">
        <v>15</v>
      </c>
      <c r="Q18" s="20" t="s">
        <v>73</v>
      </c>
      <c r="R18" s="33" t="s">
        <v>16</v>
      </c>
      <c r="S18" s="33" t="s">
        <v>16</v>
      </c>
      <c r="T18" s="33" t="s">
        <v>16</v>
      </c>
      <c r="U18" s="33" t="s">
        <v>16</v>
      </c>
      <c r="V18" s="33" t="s">
        <v>16</v>
      </c>
      <c r="W18" s="33" t="s">
        <v>16</v>
      </c>
      <c r="X18" s="33" t="s">
        <v>16</v>
      </c>
      <c r="Y18" s="33" t="s">
        <v>16</v>
      </c>
      <c r="Z18" s="33" t="s">
        <v>15</v>
      </c>
      <c r="AA18" s="33" t="s">
        <v>16</v>
      </c>
      <c r="AB18" s="33" t="s">
        <v>15</v>
      </c>
      <c r="AC18" s="33" t="s">
        <v>15</v>
      </c>
      <c r="AD18" s="33"/>
      <c r="AE18" s="33"/>
    </row>
    <row r="19" spans="1:31" s="24" customFormat="1" ht="15.75" customHeight="1" thickBot="1">
      <c r="A19" s="22" t="s">
        <v>53</v>
      </c>
      <c r="B19" s="21" t="s">
        <v>86</v>
      </c>
      <c r="C19" s="21" t="s">
        <v>19</v>
      </c>
      <c r="D19" t="s">
        <v>17</v>
      </c>
      <c r="E19" s="2" t="s">
        <v>56</v>
      </c>
      <c r="F19" s="2" t="s">
        <v>61</v>
      </c>
      <c r="G19" s="41" t="s">
        <v>102</v>
      </c>
      <c r="H19" s="2" t="s">
        <v>58</v>
      </c>
      <c r="I19" s="20"/>
      <c r="J19" s="20"/>
      <c r="K19" s="20"/>
      <c r="L19" s="20"/>
      <c r="M19" s="21" t="s">
        <v>15</v>
      </c>
      <c r="N19" s="21" t="s">
        <v>15</v>
      </c>
      <c r="O19" s="21" t="s">
        <v>15</v>
      </c>
      <c r="P19" s="21" t="s">
        <v>15</v>
      </c>
      <c r="Q19" s="20" t="s">
        <v>73</v>
      </c>
      <c r="R19" s="33" t="s">
        <v>16</v>
      </c>
      <c r="S19" s="33" t="s">
        <v>16</v>
      </c>
      <c r="T19" s="33" t="s">
        <v>16</v>
      </c>
      <c r="U19" s="33" t="s">
        <v>16</v>
      </c>
      <c r="V19" s="33" t="s">
        <v>16</v>
      </c>
      <c r="W19" s="33" t="s">
        <v>16</v>
      </c>
      <c r="X19" s="33" t="s">
        <v>16</v>
      </c>
      <c r="Y19" s="33" t="s">
        <v>16</v>
      </c>
      <c r="Z19" s="33" t="s">
        <v>15</v>
      </c>
      <c r="AA19" s="33" t="s">
        <v>16</v>
      </c>
      <c r="AB19" s="33" t="s">
        <v>15</v>
      </c>
      <c r="AC19" s="33" t="s">
        <v>15</v>
      </c>
      <c r="AD19" s="33"/>
      <c r="AE19" s="33"/>
    </row>
    <row r="20" spans="1:31" s="24" customFormat="1" ht="15.75" customHeight="1" thickBot="1">
      <c r="A20" s="22" t="s">
        <v>54</v>
      </c>
      <c r="B20" s="21" t="s">
        <v>86</v>
      </c>
      <c r="C20" s="21" t="s">
        <v>19</v>
      </c>
      <c r="D20" t="s">
        <v>17</v>
      </c>
      <c r="E20" s="2" t="s">
        <v>56</v>
      </c>
      <c r="F20" s="2" t="s">
        <v>61</v>
      </c>
      <c r="G20" s="41" t="s">
        <v>102</v>
      </c>
      <c r="H20" s="2" t="s">
        <v>58</v>
      </c>
      <c r="I20" s="20"/>
      <c r="J20" s="20"/>
      <c r="K20" s="20"/>
      <c r="L20" s="20"/>
      <c r="M20" s="21" t="s">
        <v>15</v>
      </c>
      <c r="N20" s="21" t="s">
        <v>15</v>
      </c>
      <c r="O20" s="21" t="s">
        <v>15</v>
      </c>
      <c r="P20" s="21" t="s">
        <v>15</v>
      </c>
      <c r="Q20" s="20" t="s">
        <v>73</v>
      </c>
      <c r="R20" s="33" t="s">
        <v>16</v>
      </c>
      <c r="S20" s="33" t="s">
        <v>16</v>
      </c>
      <c r="T20" s="33" t="s">
        <v>16</v>
      </c>
      <c r="U20" s="33" t="s">
        <v>16</v>
      </c>
      <c r="V20" s="33" t="s">
        <v>16</v>
      </c>
      <c r="W20" s="33" t="s">
        <v>16</v>
      </c>
      <c r="X20" s="33" t="s">
        <v>16</v>
      </c>
      <c r="Y20" s="33" t="s">
        <v>16</v>
      </c>
      <c r="Z20" s="33" t="s">
        <v>15</v>
      </c>
      <c r="AA20" s="33" t="s">
        <v>16</v>
      </c>
      <c r="AB20" s="33" t="s">
        <v>15</v>
      </c>
      <c r="AC20" s="33" t="s">
        <v>15</v>
      </c>
      <c r="AD20" s="33"/>
      <c r="AE20" s="33"/>
    </row>
    <row r="21" spans="1:31" s="24" customFormat="1" ht="15.75" customHeight="1" thickBot="1">
      <c r="A21" s="22" t="s">
        <v>55</v>
      </c>
      <c r="B21" s="21" t="s">
        <v>86</v>
      </c>
      <c r="C21" s="21" t="s">
        <v>19</v>
      </c>
      <c r="D21" t="s">
        <v>17</v>
      </c>
      <c r="E21" s="2" t="s">
        <v>56</v>
      </c>
      <c r="F21" s="2" t="s">
        <v>61</v>
      </c>
      <c r="G21" s="41" t="s">
        <v>102</v>
      </c>
      <c r="H21" s="2" t="s">
        <v>58</v>
      </c>
      <c r="I21" s="20"/>
      <c r="J21" s="20"/>
      <c r="K21" s="20"/>
      <c r="L21" s="20"/>
      <c r="M21" s="21" t="s">
        <v>15</v>
      </c>
      <c r="N21" s="21" t="s">
        <v>15</v>
      </c>
      <c r="O21" s="21" t="s">
        <v>15</v>
      </c>
      <c r="P21" s="21" t="s">
        <v>15</v>
      </c>
      <c r="Q21" s="20" t="s">
        <v>73</v>
      </c>
      <c r="R21" s="33" t="s">
        <v>16</v>
      </c>
      <c r="S21" s="33" t="s">
        <v>16</v>
      </c>
      <c r="T21" s="33" t="s">
        <v>16</v>
      </c>
      <c r="U21" s="33" t="s">
        <v>16</v>
      </c>
      <c r="V21" s="33" t="s">
        <v>16</v>
      </c>
      <c r="W21" s="33" t="s">
        <v>16</v>
      </c>
      <c r="X21" s="33" t="s">
        <v>16</v>
      </c>
      <c r="Y21" s="33" t="s">
        <v>16</v>
      </c>
      <c r="Z21" s="33" t="s">
        <v>15</v>
      </c>
      <c r="AA21" s="33" t="s">
        <v>16</v>
      </c>
      <c r="AB21" s="33" t="s">
        <v>15</v>
      </c>
      <c r="AC21" s="33" t="s">
        <v>15</v>
      </c>
      <c r="AD21" s="33"/>
      <c r="AE21" s="33"/>
    </row>
    <row r="22" spans="1:31" s="24" customFormat="1" ht="15.75" customHeight="1">
      <c r="A22" s="22" t="s">
        <v>104</v>
      </c>
      <c r="B22" s="21" t="s">
        <v>86</v>
      </c>
      <c r="C22" s="21" t="s">
        <v>19</v>
      </c>
      <c r="D22" t="s">
        <v>17</v>
      </c>
      <c r="E22" s="2" t="s">
        <v>56</v>
      </c>
      <c r="F22" s="2" t="s">
        <v>61</v>
      </c>
      <c r="G22" s="41" t="s">
        <v>102</v>
      </c>
      <c r="H22" s="2" t="s">
        <v>58</v>
      </c>
      <c r="I22" s="20"/>
      <c r="J22" s="20"/>
      <c r="K22" s="20"/>
      <c r="L22" s="20"/>
      <c r="M22" s="21" t="s">
        <v>15</v>
      </c>
      <c r="N22" s="21" t="s">
        <v>15</v>
      </c>
      <c r="O22" s="21" t="s">
        <v>15</v>
      </c>
      <c r="P22" s="21" t="s">
        <v>15</v>
      </c>
      <c r="Q22" s="20" t="s">
        <v>73</v>
      </c>
      <c r="R22" s="33" t="s">
        <v>16</v>
      </c>
      <c r="S22" s="33" t="s">
        <v>16</v>
      </c>
      <c r="T22" s="33" t="s">
        <v>16</v>
      </c>
      <c r="U22" s="33" t="s">
        <v>16</v>
      </c>
      <c r="V22" s="33" t="s">
        <v>16</v>
      </c>
      <c r="W22" s="33" t="s">
        <v>16</v>
      </c>
      <c r="X22" s="33" t="s">
        <v>16</v>
      </c>
      <c r="Y22" s="33" t="s">
        <v>16</v>
      </c>
      <c r="Z22" s="33" t="s">
        <v>15</v>
      </c>
      <c r="AA22" s="33" t="s">
        <v>16</v>
      </c>
      <c r="AB22" s="33" t="s">
        <v>15</v>
      </c>
      <c r="AC22" s="33" t="s">
        <v>15</v>
      </c>
      <c r="AD22" s="33"/>
      <c r="AE22" s="33"/>
    </row>
    <row r="23" spans="1:31" ht="21" customHeight="1">
      <c r="H23" s="2"/>
      <c r="I23" s="10"/>
      <c r="J23" s="10"/>
      <c r="K23" s="10"/>
      <c r="L23" s="10"/>
      <c r="M23" s="23"/>
    </row>
  </sheetData>
  <mergeCells count="6">
    <mergeCell ref="P11:R11"/>
    <mergeCell ref="AD2:AJ2"/>
    <mergeCell ref="P3:T3"/>
    <mergeCell ref="P6:R6"/>
    <mergeCell ref="P9:R9"/>
    <mergeCell ref="P10:R10"/>
  </mergeCells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E14:H24"/>
  <sheetViews>
    <sheetView workbookViewId="0">
      <selection activeCell="F23" sqref="F23"/>
    </sheetView>
  </sheetViews>
  <sheetFormatPr defaultRowHeight="15"/>
  <sheetData>
    <row r="14" spans="5:6">
      <c r="F14">
        <v>80</v>
      </c>
    </row>
    <row r="15" spans="5:6" ht="25.5">
      <c r="E15" s="28" t="s">
        <v>85</v>
      </c>
      <c r="F15">
        <f>F14*5000+15000</f>
        <v>415000</v>
      </c>
    </row>
    <row r="19" spans="5:8">
      <c r="F19">
        <v>2</v>
      </c>
    </row>
    <row r="20" spans="5:8" ht="25.5">
      <c r="E20" s="28" t="s">
        <v>11</v>
      </c>
      <c r="F20">
        <f>F19*2+12</f>
        <v>16</v>
      </c>
    </row>
    <row r="23" spans="5:8">
      <c r="F23">
        <v>2</v>
      </c>
    </row>
    <row r="24" spans="5:8" ht="25.5">
      <c r="E24" s="28" t="s">
        <v>12</v>
      </c>
      <c r="F24">
        <f>F23*50000+150000</f>
        <v>250000</v>
      </c>
      <c r="H2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HDFC</vt:lpstr>
      <vt:lpstr>Calculation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inos006534</dc:creator>
  <cp:lastModifiedBy>inven12919</cp:lastModifiedBy>
  <dcterms:created xsi:type="dcterms:W3CDTF">2018-05-27T08:10:15Z</dcterms:created>
  <dcterms:modified xsi:type="dcterms:W3CDTF">2020-06-16T04:34:59Z</dcterms:modified>
</cp:coreProperties>
</file>